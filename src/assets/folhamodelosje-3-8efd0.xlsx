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QUINZENA" sheetId="2" state="visible" r:id="rId2"/>
    <sheet xmlns:r="http://schemas.openxmlformats.org/officeDocument/2006/relationships" name="MENSAL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VENDAS" sheetId="5" state="visible" r:id="rId5"/>
    <sheet xmlns:r="http://schemas.openxmlformats.org/officeDocument/2006/relationships" name="RESUMO" sheetId="6" state="visible" r:id="rId6"/>
    <sheet xmlns:r="http://schemas.openxmlformats.org/officeDocument/2006/relationships" name="TABELAS" sheetId="7" state="visible" r:id="rId7"/>
  </sheets>
  <definedNames>
    <definedName name="_xlnm.Print_Area" localSheetId="0">'GERAL'!$A$1:$M$29</definedName>
    <definedName name="_xlnm.Print_Area" localSheetId="1">'QUINZENA'!$A$1:$G$39</definedName>
    <definedName name="_xlnm.Print_Area" localSheetId="2">'MENSAL'!$A$1:$K$42</definedName>
    <definedName name="_xlnm.Print_Area" localSheetId="3">'PRODUÇÃO'!$A$1:$N$42</definedName>
    <definedName name="_xlnm.Print_Area" localSheetId="4">'VENDAS'!$A$1:$F$40</definedName>
    <definedName name="_xlnm.Print_Area" localSheetId="5">'RESUMO'!$A$1:$B$18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i val="1"/>
      <color rgb="007F7F7F"/>
      <sz val="9"/>
    </font>
    <font>
      <b val="1"/>
      <color rgb="00FFFFFF"/>
    </font>
    <font>
      <b val="1"/>
      <color rgb="001F4E79"/>
      <sz val="13"/>
    </font>
    <font>
      <i val="1"/>
      <color rgb="00595959"/>
      <sz val="10"/>
    </font>
    <font>
      <b val="1"/>
      <color rgb="00C55A11"/>
      <sz val="9"/>
    </font>
    <font>
      <b val="1"/>
      <color rgb="00C55A11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9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9" fontId="2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4" fontId="0" fillId="2" borderId="1" pivotButton="0" quotePrefix="0" xfId="0"/>
    <xf numFmtId="1" fontId="0" fillId="2" borderId="1" applyAlignment="1" pivotButton="0" quotePrefix="0" xfId="0">
      <alignment horizontal="center"/>
    </xf>
    <xf numFmtId="4" fontId="0" fillId="4" borderId="1" pivotButton="0" quotePrefix="0" xfId="0"/>
    <xf numFmtId="0" fontId="0" fillId="5" borderId="2" pivotButton="0" quotePrefix="0" xfId="0"/>
    <xf numFmtId="0" fontId="2" fillId="5" borderId="2" pivotButton="0" quotePrefix="0" xfId="0"/>
    <xf numFmtId="4" fontId="2" fillId="5" borderId="2" pivotButton="0" quotePrefix="0" xfId="0"/>
    <xf numFmtId="4" fontId="2" fillId="0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0" borderId="0" applyAlignment="1" pivotButton="0" quotePrefix="0" xfId="0">
      <alignment vertical="top" wrapText="1"/>
    </xf>
    <xf numFmtId="1" fontId="0" fillId="2" borderId="1" pivotButton="0" quotePrefix="0" xfId="0"/>
    <xf numFmtId="0" fontId="7" fillId="0" borderId="0" pivotButton="0" quotePrefix="0" xfId="0"/>
    <xf numFmtId="4" fontId="0" fillId="0" borderId="1" pivotButton="0" quotePrefix="0" xfId="0"/>
    <xf numFmtId="4" fontId="2" fillId="6" borderId="0" pivotButton="0" quotePrefix="0" xfId="0"/>
    <xf numFmtId="0" fontId="8" fillId="0" borderId="0" pivotButton="0" quotePrefix="0" xfId="0"/>
    <xf numFmtId="4" fontId="0" fillId="0" borderId="0" pivotButton="0" quotePrefix="0" xfId="0"/>
    <xf numFmtId="0" fontId="9" fillId="6" borderId="0" pivotButton="0" quotePrefix="0" xfId="0"/>
    <xf numFmtId="4" fontId="9" fillId="6" borderId="0" pivotButton="0" quotePrefix="0" xfId="0"/>
    <xf numFmtId="0" fontId="4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Melo</author>
  </authors>
  <commentList>
    <comment ref="E4" authorId="0" shapeId="0">
      <text>
        <t>Nº de filhos até 14 anos. O salário-família (R$ 67,54 por filho) só entra se o bruto for até R$ 1.980,38 — calculado sozinho.</t>
      </text>
    </comment>
    <comment ref="H4" authorId="0" shapeId="0">
      <text>
        <t>IRRF 2026 (Lei 15.270/2025): quem ganha até R$ 5.000 brutos é isento. Acima disso o modelo calcula. Valide com o contador.</t>
      </text>
    </comment>
    <comment ref="F21" authorId="0" shapeId="0">
      <text>
        <t>Soma do INSS retido — recolher via DAE/GPS.</t>
      </text>
    </comment>
    <comment ref="H21" authorId="0" shapeId="0">
      <text>
        <t>Soma do IRRF retido — recolher via DARF 0561.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9" customWidth="1" min="3" max="3"/>
    <col width="13" customWidth="1" min="4" max="4"/>
    <col width="9" customWidth="1" min="5" max="5"/>
    <col width="11" customWidth="1" min="6" max="6"/>
    <col width="9" customWidth="1" min="7" max="7"/>
    <col width="10" customWidth="1" min="8" max="8"/>
    <col width="11" customWidth="1" min="9" max="9"/>
    <col width="15" customWidth="1" min="10" max="10"/>
    <col width="20" customWidth="1" min="11" max="11"/>
    <col width="16" customWidth="1" min="12" max="12"/>
    <col width="30" customWidth="1" min="13" max="13"/>
  </cols>
  <sheetData>
    <row r="1">
      <c r="A1" s="1" t="inlineStr">
        <is>
          <t>GCMIX SJE PE</t>
        </is>
      </c>
    </row>
    <row r="2">
      <c r="A2" s="2" t="inlineStr">
        <is>
          <t>Competência:</t>
        </is>
      </c>
      <c r="B2" s="3" t="inlineStr">
        <is>
          <t>SETEMBRO/2026</t>
        </is>
      </c>
      <c r="C2" s="2" t="inlineStr">
        <is>
          <t>Data:</t>
        </is>
      </c>
      <c r="D2" s="3" t="inlineStr">
        <is>
          <t>15/09/2026</t>
        </is>
      </c>
      <c r="E2" s="2" t="inlineStr">
        <is>
          <t>% Quinzena:</t>
        </is>
      </c>
      <c r="F2" s="4" t="n">
        <v>0.4</v>
      </c>
    </row>
    <row r="3">
      <c r="A3" s="5" t="inlineStr">
        <is>
          <t>🟡 AMARELO = você digita  ·  ⚪ CINZA = calculado sozinho (não mexa; só sobrescreva num caso especial)</t>
        </is>
      </c>
    </row>
    <row r="4" ht="28" customHeight="1">
      <c r="A4" s="6" t="inlineStr">
        <is>
          <t>Nº</t>
        </is>
      </c>
      <c r="B4" s="6" t="inlineStr">
        <is>
          <t>NOME</t>
        </is>
      </c>
      <c r="C4" s="6" t="inlineStr">
        <is>
          <t>FUNÇÃO</t>
        </is>
      </c>
      <c r="D4" s="6" t="inlineStr">
        <is>
          <t>TOTAL BRUTO</t>
        </is>
      </c>
      <c r="E4" s="6" t="inlineStr">
        <is>
          <t>FILHOS (ATÉ 14)</t>
        </is>
      </c>
      <c r="F4" s="6" t="inlineStr">
        <is>
          <t>INSS</t>
        </is>
      </c>
      <c r="G4" s="6" t="inlineStr">
        <is>
          <t>FAMÍLIA</t>
        </is>
      </c>
      <c r="H4" s="6" t="inlineStr">
        <is>
          <t>IRRF</t>
        </is>
      </c>
      <c r="I4" s="6" t="inlineStr">
        <is>
          <t>QUINZENA</t>
        </is>
      </c>
      <c r="J4" s="6" t="inlineStr">
        <is>
          <t>MENSAL (LÍQUIDO)</t>
        </is>
      </c>
      <c r="K4" s="6" t="inlineStr">
        <is>
          <t>AGÊNCIA / C/C</t>
        </is>
      </c>
      <c r="L4" s="6" t="inlineStr">
        <is>
          <t>PIX</t>
        </is>
      </c>
      <c r="M4" s="6" t="inlineStr">
        <is>
          <t>OBS</t>
        </is>
      </c>
    </row>
    <row r="5">
      <c r="A5" s="7">
        <f>IF($B5="","",ROW()-4)</f>
        <v/>
      </c>
      <c r="B5" s="8" t="inlineStr">
        <is>
          <t>ARLINDO LEITE DE BRITO JUNIOR</t>
        </is>
      </c>
      <c r="C5" t="inlineStr">
        <is>
          <t>MOTORISTA</t>
        </is>
      </c>
      <c r="D5" s="9" t="n">
        <v>2410</v>
      </c>
      <c r="E5" s="10" t="n">
        <v>0</v>
      </c>
      <c r="F5" s="11">
        <f>IF($D5="","",ROUND(VLOOKUP(MIN($D5,TABELAS!$B$10),TABELAS!$A$5:$C$8,2,TRUE)*MIN($D5,TABELAS!$B$10)-VLOOKUP(MIN($D5,TABELAS!$B$10),TABELAS!$A$5:$C$8,3,TRUE),2))</f>
        <v/>
      </c>
      <c r="G5" s="11">
        <f>IF($D5="","",IF($D5&gt;TABELAS!$B$13,0,$E5*TABELAS!$B$12))</f>
        <v/>
      </c>
      <c r="H5" s="11">
        <f>IF($D5="","",IF($D5&lt;=TABELAS!$B$22,0,ROUND(MAX(0,(VLOOKUP(MAX(0.01,$D5-$F5),TABELAS!$A$16:$C$20,2,TRUE)*($D5-$F5)-VLOOKUP(MAX(0.01,$D5-$F5),TABELAS!$A$16:$C$20,3,TRUE))-IF(($D5-$F5)&lt;=TABELAS!$B$23,MIN((VLOOKUP(MAX(0.01,$D5-$F5),TABELAS!$A$16:$C$20,2,TRUE)*($D5-$F5)-VLOOKUP(MAX(0.01,$D5-$F5),TABELAS!$A$16:$C$20,3,TRUE)),TABELAS!$B$24-TABELAS!$B$25*($D5-$F5)),0)),2)))</f>
        <v/>
      </c>
      <c r="I5" s="11">
        <f>IF($D5="","",ROUND($D5*$F$2,2))</f>
        <v/>
      </c>
      <c r="J5" s="11">
        <f>IF($D5="","",ROUND($D5-$I5-$F5+$G5-$H5,2))</f>
        <v/>
      </c>
      <c r="K5" s="8" t="n"/>
      <c r="L5" s="8" t="inlineStr">
        <is>
          <t>87999146340</t>
        </is>
      </c>
      <c r="M5" s="8" t="n"/>
    </row>
    <row r="6">
      <c r="A6" s="7">
        <f>IF($B6="","",ROW()-4)</f>
        <v/>
      </c>
      <c r="B6" s="8" t="inlineStr">
        <is>
          <t>CARLOS ALBERTO FERREIRA</t>
        </is>
      </c>
      <c r="C6" t="inlineStr">
        <is>
          <t>MOTORISTA</t>
        </is>
      </c>
      <c r="D6" s="9" t="n">
        <v>2410</v>
      </c>
      <c r="E6" s="10" t="n">
        <v>0</v>
      </c>
      <c r="F6" s="11">
        <f>IF($D6="","",ROUND(VLOOKUP(MIN($D6,TABELAS!$B$10),TABELAS!$A$5:$C$8,2,TRUE)*MIN($D6,TABELAS!$B$10)-VLOOKUP(MIN($D6,TABELAS!$B$10),TABELAS!$A$5:$C$8,3,TRUE),2))</f>
        <v/>
      </c>
      <c r="G6" s="11">
        <f>IF($D6="","",IF($D6&gt;TABELAS!$B$13,0,$E6*TABELAS!$B$12))</f>
        <v/>
      </c>
      <c r="H6" s="11">
        <f>IF($D6="","",IF($D6&lt;=TABELAS!$B$22,0,ROUND(MAX(0,(VLOOKUP(MAX(0.01,$D6-$F6),TABELAS!$A$16:$C$20,2,TRUE)*($D6-$F6)-VLOOKUP(MAX(0.01,$D6-$F6),TABELAS!$A$16:$C$20,3,TRUE))-IF(($D6-$F6)&lt;=TABELAS!$B$23,MIN((VLOOKUP(MAX(0.01,$D6-$F6),TABELAS!$A$16:$C$20,2,TRUE)*($D6-$F6)-VLOOKUP(MAX(0.01,$D6-$F6),TABELAS!$A$16:$C$20,3,TRUE)),TABELAS!$B$24-TABELAS!$B$25*($D6-$F6)),0)),2)))</f>
        <v/>
      </c>
      <c r="I6" s="11">
        <f>IF($D6="","",ROUND($D6*$F$2,2))</f>
        <v/>
      </c>
      <c r="J6" s="11">
        <f>IF($D6="","",ROUND($D6-$I6-$F6+$G6-$H6,2))</f>
        <v/>
      </c>
      <c r="K6" s="8" t="inlineStr">
        <is>
          <t>1563/82316-4</t>
        </is>
      </c>
      <c r="L6" s="8" t="n"/>
      <c r="M6" s="8" t="n"/>
    </row>
    <row r="7">
      <c r="A7" s="7">
        <f>IF($B7="","",ROW()-4)</f>
        <v/>
      </c>
      <c r="B7" s="8" t="inlineStr">
        <is>
          <t>IRINALDO DOS SANTOS BRITO</t>
        </is>
      </c>
      <c r="C7" t="inlineStr">
        <is>
          <t>MOTORISTA</t>
        </is>
      </c>
      <c r="D7" s="9" t="n">
        <v>2410</v>
      </c>
      <c r="E7" s="10" t="n">
        <v>0</v>
      </c>
      <c r="F7" s="11">
        <f>IF($D7="","",ROUND(VLOOKUP(MIN($D7,TABELAS!$B$10),TABELAS!$A$5:$C$8,2,TRUE)*MIN($D7,TABELAS!$B$10)-VLOOKUP(MIN($D7,TABELAS!$B$10),TABELAS!$A$5:$C$8,3,TRUE),2))</f>
        <v/>
      </c>
      <c r="G7" s="11">
        <f>IF($D7="","",IF($D7&gt;TABELAS!$B$13,0,$E7*TABELAS!$B$12))</f>
        <v/>
      </c>
      <c r="H7" s="11">
        <f>IF($D7="","",IF($D7&lt;=TABELAS!$B$22,0,ROUND(MAX(0,(VLOOKUP(MAX(0.01,$D7-$F7),TABELAS!$A$16:$C$20,2,TRUE)*($D7-$F7)-VLOOKUP(MAX(0.01,$D7-$F7),TABELAS!$A$16:$C$20,3,TRUE))-IF(($D7-$F7)&lt;=TABELAS!$B$23,MIN((VLOOKUP(MAX(0.01,$D7-$F7),TABELAS!$A$16:$C$20,2,TRUE)*($D7-$F7)-VLOOKUP(MAX(0.01,$D7-$F7),TABELAS!$A$16:$C$20,3,TRUE)),TABELAS!$B$24-TABELAS!$B$25*($D7-$F7)),0)),2)))</f>
        <v/>
      </c>
      <c r="I7" s="11">
        <f>IF($D7="","",ROUND($D7*$F$2,2))</f>
        <v/>
      </c>
      <c r="J7" s="11">
        <f>IF($D7="","",ROUND($D7-$I7-$F7+$G7-$H7,2))</f>
        <v/>
      </c>
      <c r="K7" s="8" t="inlineStr">
        <is>
          <t>1563/76509-1</t>
        </is>
      </c>
      <c r="L7" s="8" t="n"/>
      <c r="M7" s="8" t="n"/>
    </row>
    <row r="8">
      <c r="A8" s="7">
        <f>IF($B8="","",ROW()-4)</f>
        <v/>
      </c>
      <c r="B8" s="8" t="inlineStr">
        <is>
          <t>JOSÉ EDNALDO XAVIER SOARES</t>
        </is>
      </c>
      <c r="C8" t="inlineStr">
        <is>
          <t>AJUDANTE</t>
        </is>
      </c>
      <c r="D8" s="9" t="n">
        <v>1720</v>
      </c>
      <c r="E8" s="10" t="n">
        <v>1</v>
      </c>
      <c r="F8" s="11">
        <f>IF($D8="","",ROUND(VLOOKUP(MIN($D8,TABELAS!$B$10),TABELAS!$A$5:$C$8,2,TRUE)*MIN($D8,TABELAS!$B$10)-VLOOKUP(MIN($D8,TABELAS!$B$10),TABELAS!$A$5:$C$8,3,TRUE),2))</f>
        <v/>
      </c>
      <c r="G8" s="11">
        <f>IF($D8="","",IF($D8&gt;TABELAS!$B$13,0,$E8*TABELAS!$B$12))</f>
        <v/>
      </c>
      <c r="H8" s="11">
        <f>IF($D8="","",IF($D8&lt;=TABELAS!$B$22,0,ROUND(MAX(0,(VLOOKUP(MAX(0.01,$D8-$F8),TABELAS!$A$16:$C$20,2,TRUE)*($D8-$F8)-VLOOKUP(MAX(0.01,$D8-$F8),TABELAS!$A$16:$C$20,3,TRUE))-IF(($D8-$F8)&lt;=TABELAS!$B$23,MIN((VLOOKUP(MAX(0.01,$D8-$F8),TABELAS!$A$16:$C$20,2,TRUE)*($D8-$F8)-VLOOKUP(MAX(0.01,$D8-$F8),TABELAS!$A$16:$C$20,3,TRUE)),TABELAS!$B$24-TABELAS!$B$25*($D8-$F8)),0)),2)))</f>
        <v/>
      </c>
      <c r="I8" s="11">
        <f>IF($D8="","",ROUND($D8*$F$2,2))</f>
        <v/>
      </c>
      <c r="J8" s="11">
        <f>IF($D8="","",ROUND($D8-$I8-$F8+$G8-$H8,2))</f>
        <v/>
      </c>
      <c r="K8" s="8" t="inlineStr">
        <is>
          <t>3506/336083-1</t>
        </is>
      </c>
      <c r="L8" s="8" t="n"/>
      <c r="M8" s="8" t="n"/>
    </row>
    <row r="9">
      <c r="A9" s="7">
        <f>IF($B9="","",ROW()-4)</f>
        <v/>
      </c>
      <c r="B9" s="8" t="inlineStr">
        <is>
          <t>JOSE PEDRO DA SILVA</t>
        </is>
      </c>
      <c r="C9" t="inlineStr">
        <is>
          <t>AJUDANTE</t>
        </is>
      </c>
      <c r="D9" s="9" t="n">
        <v>1720</v>
      </c>
      <c r="E9" s="10" t="n">
        <v>2</v>
      </c>
      <c r="F9" s="11">
        <f>IF($D9="","",ROUND(VLOOKUP(MIN($D9,TABELAS!$B$10),TABELAS!$A$5:$C$8,2,TRUE)*MIN($D9,TABELAS!$B$10)-VLOOKUP(MIN($D9,TABELAS!$B$10),TABELAS!$A$5:$C$8,3,TRUE),2))</f>
        <v/>
      </c>
      <c r="G9" s="11">
        <f>IF($D9="","",IF($D9&gt;TABELAS!$B$13,0,$E9*TABELAS!$B$12))</f>
        <v/>
      </c>
      <c r="H9" s="11">
        <f>IF($D9="","",IF($D9&lt;=TABELAS!$B$22,0,ROUND(MAX(0,(VLOOKUP(MAX(0.01,$D9-$F9),TABELAS!$A$16:$C$20,2,TRUE)*($D9-$F9)-VLOOKUP(MAX(0.01,$D9-$F9),TABELAS!$A$16:$C$20,3,TRUE))-IF(($D9-$F9)&lt;=TABELAS!$B$23,MIN((VLOOKUP(MAX(0.01,$D9-$F9),TABELAS!$A$16:$C$20,2,TRUE)*($D9-$F9)-VLOOKUP(MAX(0.01,$D9-$F9),TABELAS!$A$16:$C$20,3,TRUE)),TABELAS!$B$24-TABELAS!$B$25*($D9-$F9)),0)),2)))</f>
        <v/>
      </c>
      <c r="I9" s="11">
        <f>IF($D9="","",ROUND($D9*$F$2,2))</f>
        <v/>
      </c>
      <c r="J9" s="11">
        <f>IF($D9="","",ROUND($D9-$I9-$F9+$G9-$H9,2))</f>
        <v/>
      </c>
      <c r="K9" s="8" t="n"/>
      <c r="L9" s="8" t="inlineStr">
        <is>
          <t>87996349221</t>
        </is>
      </c>
      <c r="M9" s="8" t="n"/>
    </row>
    <row r="10">
      <c r="A10" s="7">
        <f>IF($B10="","",ROW()-4)</f>
        <v/>
      </c>
      <c r="B10" s="8" t="inlineStr">
        <is>
          <t>JOSÉ EUGENIO BRITO ALVES</t>
        </is>
      </c>
      <c r="C10" t="inlineStr">
        <is>
          <t>MOTORISTA</t>
        </is>
      </c>
      <c r="D10" s="9" t="n">
        <v>2410</v>
      </c>
      <c r="E10" s="10" t="n">
        <v>0</v>
      </c>
      <c r="F10" s="11">
        <f>IF($D10="","",ROUND(VLOOKUP(MIN($D10,TABELAS!$B$10),TABELAS!$A$5:$C$8,2,TRUE)*MIN($D10,TABELAS!$B$10)-VLOOKUP(MIN($D10,TABELAS!$B$10),TABELAS!$A$5:$C$8,3,TRUE),2))</f>
        <v/>
      </c>
      <c r="G10" s="11">
        <f>IF($D10="","",IF($D10&gt;TABELAS!$B$13,0,$E10*TABELAS!$B$12))</f>
        <v/>
      </c>
      <c r="H10" s="11">
        <f>IF($D10="","",IF($D10&lt;=TABELAS!$B$22,0,ROUND(MAX(0,(VLOOKUP(MAX(0.01,$D10-$F10),TABELAS!$A$16:$C$20,2,TRUE)*($D10-$F10)-VLOOKUP(MAX(0.01,$D10-$F10),TABELAS!$A$16:$C$20,3,TRUE))-IF(($D10-$F10)&lt;=TABELAS!$B$23,MIN((VLOOKUP(MAX(0.01,$D10-$F10),TABELAS!$A$16:$C$20,2,TRUE)*($D10-$F10)-VLOOKUP(MAX(0.01,$D10-$F10),TABELAS!$A$16:$C$20,3,TRUE)),TABELAS!$B$24-TABELAS!$B$25*($D10-$F10)),0)),2)))</f>
        <v/>
      </c>
      <c r="I10" s="11">
        <f>IF($D10="","",ROUND($D10*$F$2,2))</f>
        <v/>
      </c>
      <c r="J10" s="11">
        <f>IF($D10="","",ROUND($D10-$I10-$F10+$G10-$H10,2))</f>
        <v/>
      </c>
      <c r="K10" s="8" t="inlineStr">
        <is>
          <t>6240/255425-10</t>
        </is>
      </c>
      <c r="L10" s="8" t="n"/>
      <c r="M10" s="8" t="n"/>
    </row>
    <row r="11">
      <c r="A11" s="7">
        <f>IF($B11="","",ROW()-4)</f>
        <v/>
      </c>
      <c r="B11" s="8" t="inlineStr">
        <is>
          <t>JOSÉ ILTON LACERDA R. JUNIOR</t>
        </is>
      </c>
      <c r="C11" t="inlineStr">
        <is>
          <t>MOTORISTA BOMBISTA</t>
        </is>
      </c>
      <c r="D11" s="9" t="n">
        <v>2520</v>
      </c>
      <c r="E11" s="10" t="n">
        <v>0</v>
      </c>
      <c r="F11" s="11">
        <f>IF($D11="","",ROUND(VLOOKUP(MIN($D11,TABELAS!$B$10),TABELAS!$A$5:$C$8,2,TRUE)*MIN($D11,TABELAS!$B$10)-VLOOKUP(MIN($D11,TABELAS!$B$10),TABELAS!$A$5:$C$8,3,TRUE),2))</f>
        <v/>
      </c>
      <c r="G11" s="11">
        <f>IF($D11="","",IF($D11&gt;TABELAS!$B$13,0,$E11*TABELAS!$B$12))</f>
        <v/>
      </c>
      <c r="H11" s="11">
        <f>IF($D11="","",IF($D11&lt;=TABELAS!$B$22,0,ROUND(MAX(0,(VLOOKUP(MAX(0.01,$D11-$F11),TABELAS!$A$16:$C$20,2,TRUE)*($D11-$F11)-VLOOKUP(MAX(0.01,$D11-$F11),TABELAS!$A$16:$C$20,3,TRUE))-IF(($D11-$F11)&lt;=TABELAS!$B$23,MIN((VLOOKUP(MAX(0.01,$D11-$F11),TABELAS!$A$16:$C$20,2,TRUE)*($D11-$F11)-VLOOKUP(MAX(0.01,$D11-$F11),TABELAS!$A$16:$C$20,3,TRUE)),TABELAS!$B$24-TABELAS!$B$25*($D11-$F11)),0)),2)))</f>
        <v/>
      </c>
      <c r="I11" s="11">
        <f>IF($D11="","",ROUND($D11*$F$2,2))</f>
        <v/>
      </c>
      <c r="J11" s="11">
        <f>IF($D11="","",ROUND($D11-$I11-$F11+$G11-$H11,2))</f>
        <v/>
      </c>
      <c r="K11" s="8" t="inlineStr">
        <is>
          <t>1563/52004-8</t>
        </is>
      </c>
      <c r="L11" s="8" t="n"/>
      <c r="M11" s="8" t="n"/>
    </row>
    <row r="12">
      <c r="A12" s="7">
        <f>IF($B12="","",ROW()-4)</f>
        <v/>
      </c>
      <c r="B12" s="8" t="inlineStr">
        <is>
          <t>JOSÉ MARINALDO PEREIRA DE ARAÚJO</t>
        </is>
      </c>
      <c r="C12" t="inlineStr">
        <is>
          <t>BALANCEIRO</t>
        </is>
      </c>
      <c r="D12" s="9" t="n">
        <v>2520</v>
      </c>
      <c r="E12" s="10" t="n">
        <v>0</v>
      </c>
      <c r="F12" s="11">
        <f>IF($D12="","",ROUND(VLOOKUP(MIN($D12,TABELAS!$B$10),TABELAS!$A$5:$C$8,2,TRUE)*MIN($D12,TABELAS!$B$10)-VLOOKUP(MIN($D12,TABELAS!$B$10),TABELAS!$A$5:$C$8,3,TRUE),2))</f>
        <v/>
      </c>
      <c r="G12" s="11">
        <f>IF($D12="","",IF($D12&gt;TABELAS!$B$13,0,$E12*TABELAS!$B$12))</f>
        <v/>
      </c>
      <c r="H12" s="11">
        <f>IF($D12="","",IF($D12&lt;=TABELAS!$B$22,0,ROUND(MAX(0,(VLOOKUP(MAX(0.01,$D12-$F12),TABELAS!$A$16:$C$20,2,TRUE)*($D12-$F12)-VLOOKUP(MAX(0.01,$D12-$F12),TABELAS!$A$16:$C$20,3,TRUE))-IF(($D12-$F12)&lt;=TABELAS!$B$23,MIN((VLOOKUP(MAX(0.01,$D12-$F12),TABELAS!$A$16:$C$20,2,TRUE)*($D12-$F12)-VLOOKUP(MAX(0.01,$D12-$F12),TABELAS!$A$16:$C$20,3,TRUE)),TABELAS!$B$24-TABELAS!$B$25*($D12-$F12)),0)),2)))</f>
        <v/>
      </c>
      <c r="I12" s="11">
        <f>IF($D12="","",ROUND($D12*$F$2,2))</f>
        <v/>
      </c>
      <c r="J12" s="11">
        <f>IF($D12="","",ROUND($D12-$I12-$F12+$G12-$H12,2))</f>
        <v/>
      </c>
      <c r="K12" s="8" t="inlineStr">
        <is>
          <t>6240/251525-4</t>
        </is>
      </c>
      <c r="L12" s="8" t="n"/>
      <c r="M12" s="8" t="n"/>
    </row>
    <row r="13">
      <c r="A13" s="7">
        <f>IF($B13="","",ROW()-4)</f>
        <v/>
      </c>
      <c r="B13" s="8" t="inlineStr">
        <is>
          <t>PATRÍCIA DE LIMA GONÇALVES</t>
        </is>
      </c>
      <c r="C13" t="inlineStr">
        <is>
          <t>SECRETARIA</t>
        </is>
      </c>
      <c r="D13" s="9" t="n">
        <v>2080</v>
      </c>
      <c r="E13" s="10" t="n">
        <v>0</v>
      </c>
      <c r="F13" s="11">
        <f>IF($D13="","",ROUND(VLOOKUP(MIN($D13,TABELAS!$B$10),TABELAS!$A$5:$C$8,2,TRUE)*MIN($D13,TABELAS!$B$10)-VLOOKUP(MIN($D13,TABELAS!$B$10),TABELAS!$A$5:$C$8,3,TRUE),2))</f>
        <v/>
      </c>
      <c r="G13" s="11">
        <f>IF($D13="","",IF($D13&gt;TABELAS!$B$13,0,$E13*TABELAS!$B$12))</f>
        <v/>
      </c>
      <c r="H13" s="11">
        <f>IF($D13="","",IF($D13&lt;=TABELAS!$B$22,0,ROUND(MAX(0,(VLOOKUP(MAX(0.01,$D13-$F13),TABELAS!$A$16:$C$20,2,TRUE)*($D13-$F13)-VLOOKUP(MAX(0.01,$D13-$F13),TABELAS!$A$16:$C$20,3,TRUE))-IF(($D13-$F13)&lt;=TABELAS!$B$23,MIN((VLOOKUP(MAX(0.01,$D13-$F13),TABELAS!$A$16:$C$20,2,TRUE)*($D13-$F13)-VLOOKUP(MAX(0.01,$D13-$F13),TABELAS!$A$16:$C$20,3,TRUE)),TABELAS!$B$24-TABELAS!$B$25*($D13-$F13)),0)),2)))</f>
        <v/>
      </c>
      <c r="I13" s="11">
        <f>IF($D13="","",ROUND($D13*$F$2,2))</f>
        <v/>
      </c>
      <c r="J13" s="11">
        <f>IF($D13="","",ROUND($D13-$I13-$F13+$G13-$H13,2))</f>
        <v/>
      </c>
      <c r="K13" s="8" t="inlineStr">
        <is>
          <t>6045/7335-1</t>
        </is>
      </c>
      <c r="L13" s="8" t="n"/>
      <c r="M13" s="8" t="n"/>
    </row>
    <row r="14">
      <c r="A14" s="7">
        <f>IF($B14="","",ROW()-4)</f>
        <v/>
      </c>
      <c r="B14" s="8" t="inlineStr">
        <is>
          <t>VALDERCLEITON FREIRE DE OLIVEIRA</t>
        </is>
      </c>
      <c r="C14" t="inlineStr">
        <is>
          <t>VENDEDOR</t>
        </is>
      </c>
      <c r="D14" s="9" t="n">
        <v>2520</v>
      </c>
      <c r="E14" s="10" t="n">
        <v>0</v>
      </c>
      <c r="F14" s="11">
        <f>IF($D14="","",ROUND(VLOOKUP(MIN($D14,TABELAS!$B$10),TABELAS!$A$5:$C$8,2,TRUE)*MIN($D14,TABELAS!$B$10)-VLOOKUP(MIN($D14,TABELAS!$B$10),TABELAS!$A$5:$C$8,3,TRUE),2))</f>
        <v/>
      </c>
      <c r="G14" s="11">
        <f>IF($D14="","",IF($D14&gt;TABELAS!$B$13,0,$E14*TABELAS!$B$12))</f>
        <v/>
      </c>
      <c r="H14" s="11">
        <f>IF($D14="","",IF($D14&lt;=TABELAS!$B$22,0,ROUND(MAX(0,(VLOOKUP(MAX(0.01,$D14-$F14),TABELAS!$A$16:$C$20,2,TRUE)*($D14-$F14)-VLOOKUP(MAX(0.01,$D14-$F14),TABELAS!$A$16:$C$20,3,TRUE))-IF(($D14-$F14)&lt;=TABELAS!$B$23,MIN((VLOOKUP(MAX(0.01,$D14-$F14),TABELAS!$A$16:$C$20,2,TRUE)*($D14-$F14)-VLOOKUP(MAX(0.01,$D14-$F14),TABELAS!$A$16:$C$20,3,TRUE)),TABELAS!$B$24-TABELAS!$B$25*($D14-$F14)),0)),2)))</f>
        <v/>
      </c>
      <c r="I14" s="11">
        <f>IF($D14="","",ROUND($D14*$F$2,2))</f>
        <v/>
      </c>
      <c r="J14" s="11">
        <f>IF($D14="","",ROUND($D14-$I14-$F14+$G14-$H14,2))</f>
        <v/>
      </c>
      <c r="K14" s="8" t="inlineStr">
        <is>
          <t>6347/396600-4</t>
        </is>
      </c>
      <c r="L14" s="8" t="n"/>
      <c r="M14" s="8" t="inlineStr">
        <is>
          <t>Comissão de vendas na aba VENDAS</t>
        </is>
      </c>
    </row>
    <row r="15">
      <c r="A15" s="7">
        <f>IF($B15="","",ROW()-4)</f>
        <v/>
      </c>
      <c r="B15" s="8" t="inlineStr">
        <is>
          <t>RENILSON FERREIRA DE MELO</t>
        </is>
      </c>
      <c r="C15" t="inlineStr">
        <is>
          <t>ENG. ELETRICO</t>
        </is>
      </c>
      <c r="D15" s="9" t="n">
        <v>9000</v>
      </c>
      <c r="E15" s="10" t="n">
        <v>0</v>
      </c>
      <c r="F15" s="11">
        <f>IF($D15="","",ROUND(VLOOKUP(MIN($D15,TABELAS!$B$10),TABELAS!$A$5:$C$8,2,TRUE)*MIN($D15,TABELAS!$B$10)-VLOOKUP(MIN($D15,TABELAS!$B$10),TABELAS!$A$5:$C$8,3,TRUE),2))</f>
        <v/>
      </c>
      <c r="G15" s="11">
        <f>IF($D15="","",IF($D15&gt;TABELAS!$B$13,0,$E15*TABELAS!$B$12))</f>
        <v/>
      </c>
      <c r="H15" s="11">
        <f>IF($D15="","",IF($D15&lt;=TABELAS!$B$22,0,ROUND(MAX(0,(VLOOKUP(MAX(0.01,$D15-$F15),TABELAS!$A$16:$C$20,2,TRUE)*($D15-$F15)-VLOOKUP(MAX(0.01,$D15-$F15),TABELAS!$A$16:$C$20,3,TRUE))-IF(($D15-$F15)&lt;=TABELAS!$B$23,MIN((VLOOKUP(MAX(0.01,$D15-$F15),TABELAS!$A$16:$C$20,2,TRUE)*($D15-$F15)-VLOOKUP(MAX(0.01,$D15-$F15),TABELAS!$A$16:$C$20,3,TRUE)),TABELAS!$B$24-TABELAS!$B$25*($D15-$F15)),0)),2)))</f>
        <v/>
      </c>
      <c r="I15" s="11">
        <f>IF($D15="","",ROUND($D15*$F$2,2))</f>
        <v/>
      </c>
      <c r="J15" s="11">
        <f>IF($D15="","",ROUND($D15-$I15-$F15+$G15-$H15,2))</f>
        <v/>
      </c>
      <c r="K15" s="8" t="n"/>
      <c r="L15" s="8" t="n"/>
      <c r="M15" s="8" t="inlineStr">
        <is>
          <t>Paga IR a partir de 2026 (Lei 15.270)</t>
        </is>
      </c>
    </row>
    <row r="16">
      <c r="A16" s="7">
        <f>IF($B16="","",ROW()-4)</f>
        <v/>
      </c>
      <c r="B16" s="8" t="n"/>
      <c r="D16" s="9" t="n"/>
      <c r="E16" s="10" t="n"/>
      <c r="F16" s="11">
        <f>IF($D16="","",ROUND(VLOOKUP(MIN($D16,TABELAS!$B$10),TABELAS!$A$5:$C$8,2,TRUE)*MIN($D16,TABELAS!$B$10)-VLOOKUP(MIN($D16,TABELAS!$B$10),TABELAS!$A$5:$C$8,3,TRUE),2))</f>
        <v/>
      </c>
      <c r="G16" s="11">
        <f>IF($D16="","",IF($D16&gt;TABELAS!$B$13,0,$E16*TABELAS!$B$12))</f>
        <v/>
      </c>
      <c r="H16" s="11">
        <f>IF($D16="","",IF($D16&lt;=TABELAS!$B$22,0,ROUND(MAX(0,(VLOOKUP(MAX(0.01,$D16-$F16),TABELAS!$A$16:$C$20,2,TRUE)*($D16-$F16)-VLOOKUP(MAX(0.01,$D16-$F16),TABELAS!$A$16:$C$20,3,TRUE))-IF(($D16-$F16)&lt;=TABELAS!$B$23,MIN((VLOOKUP(MAX(0.01,$D16-$F16),TABELAS!$A$16:$C$20,2,TRUE)*($D16-$F16)-VLOOKUP(MAX(0.01,$D16-$F16),TABELAS!$A$16:$C$20,3,TRUE)),TABELAS!$B$24-TABELAS!$B$25*($D16-$F16)),0)),2)))</f>
        <v/>
      </c>
      <c r="I16" s="11">
        <f>IF($D16="","",ROUND($D16*$F$2,2))</f>
        <v/>
      </c>
      <c r="J16" s="11">
        <f>IF($D16="","",ROUND($D16-$I16-$F16+$G16-$H16,2))</f>
        <v/>
      </c>
      <c r="K16" s="8" t="n"/>
      <c r="L16" s="8" t="n"/>
      <c r="M16" s="8" t="n"/>
    </row>
    <row r="17">
      <c r="A17" s="7">
        <f>IF($B17="","",ROW()-4)</f>
        <v/>
      </c>
      <c r="B17" s="8" t="n"/>
      <c r="D17" s="9" t="n"/>
      <c r="E17" s="10" t="n"/>
      <c r="F17" s="11">
        <f>IF($D17="","",ROUND(VLOOKUP(MIN($D17,TABELAS!$B$10),TABELAS!$A$5:$C$8,2,TRUE)*MIN($D17,TABELAS!$B$10)-VLOOKUP(MIN($D17,TABELAS!$B$10),TABELAS!$A$5:$C$8,3,TRUE),2))</f>
        <v/>
      </c>
      <c r="G17" s="11">
        <f>IF($D17="","",IF($D17&gt;TABELAS!$B$13,0,$E17*TABELAS!$B$12))</f>
        <v/>
      </c>
      <c r="H17" s="11">
        <f>IF($D17="","",IF($D17&lt;=TABELAS!$B$22,0,ROUND(MAX(0,(VLOOKUP(MAX(0.01,$D17-$F17),TABELAS!$A$16:$C$20,2,TRUE)*($D17-$F17)-VLOOKUP(MAX(0.01,$D17-$F17),TABELAS!$A$16:$C$20,3,TRUE))-IF(($D17-$F17)&lt;=TABELAS!$B$23,MIN((VLOOKUP(MAX(0.01,$D17-$F17),TABELAS!$A$16:$C$20,2,TRUE)*($D17-$F17)-VLOOKUP(MAX(0.01,$D17-$F17),TABELAS!$A$16:$C$20,3,TRUE)),TABELAS!$B$24-TABELAS!$B$25*($D17-$F17)),0)),2)))</f>
        <v/>
      </c>
      <c r="I17" s="11">
        <f>IF($D17="","",ROUND($D17*$F$2,2))</f>
        <v/>
      </c>
      <c r="J17" s="11">
        <f>IF($D17="","",ROUND($D17-$I17-$F17+$G17-$H17,2))</f>
        <v/>
      </c>
      <c r="K17" s="8" t="n"/>
      <c r="L17" s="8" t="n"/>
      <c r="M17" s="8" t="n"/>
    </row>
    <row r="18">
      <c r="A18" s="7">
        <f>IF($B18="","",ROW()-4)</f>
        <v/>
      </c>
      <c r="B18" s="8" t="n"/>
      <c r="D18" s="9" t="n"/>
      <c r="E18" s="10" t="n"/>
      <c r="F18" s="11">
        <f>IF($D18="","",ROUND(VLOOKUP(MIN($D18,TABELAS!$B$10),TABELAS!$A$5:$C$8,2,TRUE)*MIN($D18,TABELAS!$B$10)-VLOOKUP(MIN($D18,TABELAS!$B$10),TABELAS!$A$5:$C$8,3,TRUE),2))</f>
        <v/>
      </c>
      <c r="G18" s="11">
        <f>IF($D18="","",IF($D18&gt;TABELAS!$B$13,0,$E18*TABELAS!$B$12))</f>
        <v/>
      </c>
      <c r="H18" s="11">
        <f>IF($D18="","",IF($D18&lt;=TABELAS!$B$22,0,ROUND(MAX(0,(VLOOKUP(MAX(0.01,$D18-$F18),TABELAS!$A$16:$C$20,2,TRUE)*($D18-$F18)-VLOOKUP(MAX(0.01,$D18-$F18),TABELAS!$A$16:$C$20,3,TRUE))-IF(($D18-$F18)&lt;=TABELAS!$B$23,MIN((VLOOKUP(MAX(0.01,$D18-$F18),TABELAS!$A$16:$C$20,2,TRUE)*($D18-$F18)-VLOOKUP(MAX(0.01,$D18-$F18),TABELAS!$A$16:$C$20,3,TRUE)),TABELAS!$B$24-TABELAS!$B$25*($D18-$F18)),0)),2)))</f>
        <v/>
      </c>
      <c r="I18" s="11">
        <f>IF($D18="","",ROUND($D18*$F$2,2))</f>
        <v/>
      </c>
      <c r="J18" s="11">
        <f>IF($D18="","",ROUND($D18-$I18-$F18+$G18-$H18,2))</f>
        <v/>
      </c>
      <c r="K18" s="8" t="n"/>
      <c r="L18" s="8" t="n"/>
      <c r="M18" s="8" t="n"/>
    </row>
    <row r="19">
      <c r="A19" s="7">
        <f>IF($B19="","",ROW()-4)</f>
        <v/>
      </c>
      <c r="B19" s="8" t="n"/>
      <c r="D19" s="9" t="n"/>
      <c r="E19" s="10" t="n"/>
      <c r="F19" s="11">
        <f>IF($D19="","",ROUND(VLOOKUP(MIN($D19,TABELAS!$B$10),TABELAS!$A$5:$C$8,2,TRUE)*MIN($D19,TABELAS!$B$10)-VLOOKUP(MIN($D19,TABELAS!$B$10),TABELAS!$A$5:$C$8,3,TRUE),2))</f>
        <v/>
      </c>
      <c r="G19" s="11">
        <f>IF($D19="","",IF($D19&gt;TABELAS!$B$13,0,$E19*TABELAS!$B$12))</f>
        <v/>
      </c>
      <c r="H19" s="11">
        <f>IF($D19="","",IF($D19&lt;=TABELAS!$B$22,0,ROUND(MAX(0,(VLOOKUP(MAX(0.01,$D19-$F19),TABELAS!$A$16:$C$20,2,TRUE)*($D19-$F19)-VLOOKUP(MAX(0.01,$D19-$F19),TABELAS!$A$16:$C$20,3,TRUE))-IF(($D19-$F19)&lt;=TABELAS!$B$23,MIN((VLOOKUP(MAX(0.01,$D19-$F19),TABELAS!$A$16:$C$20,2,TRUE)*($D19-$F19)-VLOOKUP(MAX(0.01,$D19-$F19),TABELAS!$A$16:$C$20,3,TRUE)),TABELAS!$B$24-TABELAS!$B$25*($D19-$F19)),0)),2)))</f>
        <v/>
      </c>
      <c r="I19" s="11">
        <f>IF($D19="","",ROUND($D19*$F$2,2))</f>
        <v/>
      </c>
      <c r="J19" s="11">
        <f>IF($D19="","",ROUND($D19-$I19-$F19+$G19-$H19,2))</f>
        <v/>
      </c>
      <c r="K19" s="8" t="n"/>
      <c r="L19" s="8" t="n"/>
      <c r="M19" s="8" t="n"/>
    </row>
    <row r="20">
      <c r="A20" s="7">
        <f>IF($B20="","",ROW()-4)</f>
        <v/>
      </c>
      <c r="B20" s="8" t="n"/>
      <c r="D20" s="9" t="n"/>
      <c r="E20" s="10" t="n"/>
      <c r="F20" s="11">
        <f>IF($D20="","",ROUND(VLOOKUP(MIN($D20,TABELAS!$B$10),TABELAS!$A$5:$C$8,2,TRUE)*MIN($D20,TABELAS!$B$10)-VLOOKUP(MIN($D20,TABELAS!$B$10),TABELAS!$A$5:$C$8,3,TRUE),2))</f>
        <v/>
      </c>
      <c r="G20" s="11">
        <f>IF($D20="","",IF($D20&gt;TABELAS!$B$13,0,$E20*TABELAS!$B$12))</f>
        <v/>
      </c>
      <c r="H20" s="11">
        <f>IF($D20="","",IF($D20&lt;=TABELAS!$B$22,0,ROUND(MAX(0,(VLOOKUP(MAX(0.01,$D20-$F20),TABELAS!$A$16:$C$20,2,TRUE)*($D20-$F20)-VLOOKUP(MAX(0.01,$D20-$F20),TABELAS!$A$16:$C$20,3,TRUE))-IF(($D20-$F20)&lt;=TABELAS!$B$23,MIN((VLOOKUP(MAX(0.01,$D20-$F20),TABELAS!$A$16:$C$20,2,TRUE)*($D20-$F20)-VLOOKUP(MAX(0.01,$D20-$F20),TABELAS!$A$16:$C$20,3,TRUE)),TABELAS!$B$24-TABELAS!$B$25*($D20-$F20)),0)),2)))</f>
        <v/>
      </c>
      <c r="I20" s="11">
        <f>IF($D20="","",ROUND($D20*$F$2,2))</f>
        <v/>
      </c>
      <c r="J20" s="11">
        <f>IF($D20="","",ROUND($D20-$I20-$F20+$G20-$H20,2))</f>
        <v/>
      </c>
      <c r="K20" s="8" t="n"/>
      <c r="L20" s="8" t="n"/>
      <c r="M20" s="8" t="n"/>
    </row>
    <row r="21">
      <c r="A21" s="12" t="n"/>
      <c r="B21" s="13" t="inlineStr">
        <is>
          <t>TOTAL</t>
        </is>
      </c>
      <c r="C21" s="12">
        <f>COUNTA($B$5:$B$20)&amp;" pessoa(s)"</f>
        <v/>
      </c>
      <c r="D21" s="14">
        <f>SUM(D5:D20)</f>
        <v/>
      </c>
      <c r="E21" s="12" t="n"/>
      <c r="F21" s="14">
        <f>SUM(F5:F20)</f>
        <v/>
      </c>
      <c r="G21" s="14">
        <f>SUM(G5:G20)</f>
        <v/>
      </c>
      <c r="H21" s="15">
        <f>SUM(H5:H20)</f>
        <v/>
      </c>
      <c r="I21" s="15">
        <f>SUM(I5:I20)</f>
        <v/>
      </c>
      <c r="J21" s="15">
        <f>SUM(J5:J20)</f>
        <v/>
      </c>
    </row>
    <row r="23">
      <c r="A23" s="2" t="inlineStr">
        <is>
          <t>TERCEIROS — FOLHA À PARTE (SEM DESCONTO)</t>
        </is>
      </c>
    </row>
    <row r="24">
      <c r="B24" s="16" t="inlineStr">
        <is>
          <t>NOME</t>
        </is>
      </c>
      <c r="D24" s="16" t="inlineStr">
        <is>
          <t>VALOR DO MÊS</t>
        </is>
      </c>
      <c r="E24" s="16" t="inlineStr">
        <is>
          <t>QUINZENA (40%)</t>
        </is>
      </c>
      <c r="F24" s="16" t="inlineStr">
        <is>
          <t>MENSAL (60%)</t>
        </is>
      </c>
      <c r="G24" s="16" t="inlineStr">
        <is>
          <t>PIX</t>
        </is>
      </c>
      <c r="H24" s="16" t="inlineStr">
        <is>
          <t>OBS</t>
        </is>
      </c>
    </row>
    <row r="25">
      <c r="B25" s="8" t="inlineStr">
        <is>
          <t>RAIMUNDO MARIANO DA SILVA JUNIOR</t>
        </is>
      </c>
      <c r="D25" s="9" t="n">
        <v>4270</v>
      </c>
      <c r="E25" s="11">
        <f>IF($D25="","",ROUND($D25*$F$2,2))</f>
        <v/>
      </c>
      <c r="F25" s="11">
        <f>IF($D25="","",ROUND($D25-$E25,2))</f>
        <v/>
      </c>
      <c r="G25" s="8" t="inlineStr">
        <is>
          <t>raimundojunior100@gmail.com</t>
        </is>
      </c>
      <c r="H25" s="8" t="inlineStr">
        <is>
          <t>Vigia — terceiro, folha à parte, sem descontos</t>
        </is>
      </c>
    </row>
    <row r="26">
      <c r="B26" s="8" t="n"/>
      <c r="D26" s="9" t="n"/>
      <c r="E26" s="11">
        <f>IF($D26="","",ROUND($D26*$F$2,2))</f>
        <v/>
      </c>
      <c r="F26" s="11">
        <f>IF($D26="","",ROUND($D26-$E26,2))</f>
        <v/>
      </c>
      <c r="G26" s="8" t="n"/>
      <c r="H26" s="8" t="n"/>
    </row>
    <row r="27">
      <c r="B27" s="8" t="n"/>
      <c r="D27" s="9" t="n"/>
      <c r="E27" s="11">
        <f>IF($D27="","",ROUND($D27*$F$2,2))</f>
        <v/>
      </c>
      <c r="F27" s="11">
        <f>IF($D27="","",ROUND($D27-$E27,2))</f>
        <v/>
      </c>
      <c r="G27" s="8" t="n"/>
      <c r="H27" s="8" t="n"/>
    </row>
    <row r="28">
      <c r="B28" s="8" t="n"/>
      <c r="D28" s="9" t="n"/>
      <c r="E28" s="11">
        <f>IF($D28="","",ROUND($D28*$F$2,2))</f>
        <v/>
      </c>
      <c r="F28" s="11">
        <f>IF($D28="","",ROUND($D28-$E28,2))</f>
        <v/>
      </c>
      <c r="G28" s="8" t="n"/>
      <c r="H28" s="8" t="n"/>
    </row>
    <row r="29">
      <c r="A29" s="12" t="n"/>
      <c r="B29" s="13" t="inlineStr">
        <is>
          <t>TOTAL</t>
        </is>
      </c>
      <c r="D29" s="15">
        <f>SUM(D25:D28)</f>
        <v/>
      </c>
    </row>
  </sheetData>
  <mergeCells count="1">
    <mergeCell ref="A1:M1"/>
  </mergeCells>
  <conditionalFormatting sqref="D5:D20">
    <cfRule type="cellIs" priority="1" operator="lessThan" dxfId="0">
      <formula>1621</formula>
    </cfRule>
  </conditionalFormatting>
  <conditionalFormatting sqref="J5:J20">
    <cfRule type="cellIs" priority="2" operator="lessThan" dxfId="0">
      <formula>0</formula>
    </cfRule>
  </conditionalFormatting>
  <dataValidations count="3">
    <dataValidation sqref="D5:D20" showDropDown="0" showInputMessage="0" showErrorMessage="0" allowBlank="1" errorTitle="Valor inválido" error="O bruto não pode ser negativo." type="decimal" operator="greaterThanOrEqual">
      <formula1>0</formula1>
    </dataValidation>
    <dataValidation sqref="E5:E20" showDropDown="0" showInputMessage="0" showErrorMessage="0" allowBlank="1" errorTitle="Valor inválido" error="Use um número de 0 a 30." type="whole" operator="between">
      <formula1>0</formula1>
      <formula2>30</formula2>
    </dataValidation>
    <dataValidation sqref="F2" showDropDown="0" showInputMessage="0" showErrorMessage="0" allowBlank="1" errorTitle="Valor inválido" error="Use uma porcentagem entre 0% e 100% (ex.: 40%)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4" customWidth="1" min="4" max="4"/>
    <col width="12" customWidth="1" min="5" max="5"/>
    <col width="20" customWidth="1" min="6" max="6"/>
    <col width="17" customWidth="1" min="7" max="7"/>
  </cols>
  <sheetData>
    <row r="1">
      <c r="A1" s="17">
        <f>"RELATÓRIO DE PAGAMENTO — QUINZENA — "&amp;GERAL!$A$1</f>
        <v/>
      </c>
    </row>
    <row r="2">
      <c r="A2" s="18">
        <f>"Competência: "&amp;GERAL!$B$2&amp;"    ·    Data: "&amp;GERAL!$D$2&amp;"    ·    Quinzena: "&amp;(GERAL!$F$2*100)&amp;"% do bruto"</f>
        <v/>
      </c>
    </row>
    <row r="4" ht="28" customHeight="1">
      <c r="A4" s="6" t="inlineStr">
        <is>
          <t>Nº</t>
        </is>
      </c>
      <c r="B4" s="6" t="inlineStr">
        <is>
          <t>NOME</t>
        </is>
      </c>
      <c r="C4" s="6" t="inlineStr">
        <is>
          <t>FUNÇÃO</t>
        </is>
      </c>
      <c r="D4" s="6" t="inlineStr">
        <is>
          <t>TOTAL BRUTO</t>
        </is>
      </c>
      <c r="E4" s="6" t="inlineStr">
        <is>
          <t>QUINZENA</t>
        </is>
      </c>
      <c r="F4" s="6" t="inlineStr">
        <is>
          <t>AGÊNCIA / C/C</t>
        </is>
      </c>
      <c r="G4" s="6" t="inlineStr">
        <is>
          <t>PIX</t>
        </is>
      </c>
    </row>
    <row r="5">
      <c r="A5" s="19">
        <f>IF(GERAL!$B5="","",GERAL!$A5)</f>
        <v/>
      </c>
      <c r="B5" s="20">
        <f>IF(GERAL!$B5="","",GERAL!$B5)</f>
        <v/>
      </c>
      <c r="C5" s="21">
        <f>IF(GERAL!$B5="","",GERAL!$C5)</f>
        <v/>
      </c>
      <c r="D5" s="11">
        <f>IF(GERAL!$B5="","",GERAL!$D5)</f>
        <v/>
      </c>
      <c r="E5" s="11">
        <f>IF(GERAL!$B5="","",GERAL!$I5)</f>
        <v/>
      </c>
      <c r="F5" s="21">
        <f>IF(GERAL!$B5="","",GERAL!$K5)</f>
        <v/>
      </c>
      <c r="G5" s="21">
        <f>IF(GERAL!$B5="","",GERAL!$L5)</f>
        <v/>
      </c>
    </row>
    <row r="6">
      <c r="A6" s="19">
        <f>IF(GERAL!$B6="","",GERAL!$A6)</f>
        <v/>
      </c>
      <c r="B6" s="20">
        <f>IF(GERAL!$B6="","",GERAL!$B6)</f>
        <v/>
      </c>
      <c r="C6" s="21">
        <f>IF(GERAL!$B6="","",GERAL!$C6)</f>
        <v/>
      </c>
      <c r="D6" s="11">
        <f>IF(GERAL!$B6="","",GERAL!$D6)</f>
        <v/>
      </c>
      <c r="E6" s="11">
        <f>IF(GERAL!$B6="","",GERAL!$I6)</f>
        <v/>
      </c>
      <c r="F6" s="21">
        <f>IF(GERAL!$B6="","",GERAL!$K6)</f>
        <v/>
      </c>
      <c r="G6" s="21">
        <f>IF(GERAL!$B6="","",GERAL!$L6)</f>
        <v/>
      </c>
    </row>
    <row r="7">
      <c r="A7" s="19">
        <f>IF(GERAL!$B7="","",GERAL!$A7)</f>
        <v/>
      </c>
      <c r="B7" s="20">
        <f>IF(GERAL!$B7="","",GERAL!$B7)</f>
        <v/>
      </c>
      <c r="C7" s="21">
        <f>IF(GERAL!$B7="","",GERAL!$C7)</f>
        <v/>
      </c>
      <c r="D7" s="11">
        <f>IF(GERAL!$B7="","",GERAL!$D7)</f>
        <v/>
      </c>
      <c r="E7" s="11">
        <f>IF(GERAL!$B7="","",GERAL!$I7)</f>
        <v/>
      </c>
      <c r="F7" s="21">
        <f>IF(GERAL!$B7="","",GERAL!$K7)</f>
        <v/>
      </c>
      <c r="G7" s="21">
        <f>IF(GERAL!$B7="","",GERAL!$L7)</f>
        <v/>
      </c>
    </row>
    <row r="8">
      <c r="A8" s="19">
        <f>IF(GERAL!$B8="","",GERAL!$A8)</f>
        <v/>
      </c>
      <c r="B8" s="20">
        <f>IF(GERAL!$B8="","",GERAL!$B8)</f>
        <v/>
      </c>
      <c r="C8" s="21">
        <f>IF(GERAL!$B8="","",GERAL!$C8)</f>
        <v/>
      </c>
      <c r="D8" s="11">
        <f>IF(GERAL!$B8="","",GERAL!$D8)</f>
        <v/>
      </c>
      <c r="E8" s="11">
        <f>IF(GERAL!$B8="","",GERAL!$I8)</f>
        <v/>
      </c>
      <c r="F8" s="21">
        <f>IF(GERAL!$B8="","",GERAL!$K8)</f>
        <v/>
      </c>
      <c r="G8" s="21">
        <f>IF(GERAL!$B8="","",GERAL!$L8)</f>
        <v/>
      </c>
    </row>
    <row r="9">
      <c r="A9" s="19">
        <f>IF(GERAL!$B9="","",GERAL!$A9)</f>
        <v/>
      </c>
      <c r="B9" s="20">
        <f>IF(GERAL!$B9="","",GERAL!$B9)</f>
        <v/>
      </c>
      <c r="C9" s="21">
        <f>IF(GERAL!$B9="","",GERAL!$C9)</f>
        <v/>
      </c>
      <c r="D9" s="11">
        <f>IF(GERAL!$B9="","",GERAL!$D9)</f>
        <v/>
      </c>
      <c r="E9" s="11">
        <f>IF(GERAL!$B9="","",GERAL!$I9)</f>
        <v/>
      </c>
      <c r="F9" s="21">
        <f>IF(GERAL!$B9="","",GERAL!$K9)</f>
        <v/>
      </c>
      <c r="G9" s="21">
        <f>IF(GERAL!$B9="","",GERAL!$L9)</f>
        <v/>
      </c>
    </row>
    <row r="10">
      <c r="A10" s="19">
        <f>IF(GERAL!$B10="","",GERAL!$A10)</f>
        <v/>
      </c>
      <c r="B10" s="20">
        <f>IF(GERAL!$B10="","",GERAL!$B10)</f>
        <v/>
      </c>
      <c r="C10" s="21">
        <f>IF(GERAL!$B10="","",GERAL!$C10)</f>
        <v/>
      </c>
      <c r="D10" s="11">
        <f>IF(GERAL!$B10="","",GERAL!$D10)</f>
        <v/>
      </c>
      <c r="E10" s="11">
        <f>IF(GERAL!$B10="","",GERAL!$I10)</f>
        <v/>
      </c>
      <c r="F10" s="21">
        <f>IF(GERAL!$B10="","",GERAL!$K10)</f>
        <v/>
      </c>
      <c r="G10" s="21">
        <f>IF(GERAL!$B10="","",GERAL!$L10)</f>
        <v/>
      </c>
    </row>
    <row r="11">
      <c r="A11" s="19">
        <f>IF(GERAL!$B11="","",GERAL!$A11)</f>
        <v/>
      </c>
      <c r="B11" s="20">
        <f>IF(GERAL!$B11="","",GERAL!$B11)</f>
        <v/>
      </c>
      <c r="C11" s="21">
        <f>IF(GERAL!$B11="","",GERAL!$C11)</f>
        <v/>
      </c>
      <c r="D11" s="11">
        <f>IF(GERAL!$B11="","",GERAL!$D11)</f>
        <v/>
      </c>
      <c r="E11" s="11">
        <f>IF(GERAL!$B11="","",GERAL!$I11)</f>
        <v/>
      </c>
      <c r="F11" s="21">
        <f>IF(GERAL!$B11="","",GERAL!$K11)</f>
        <v/>
      </c>
      <c r="G11" s="21">
        <f>IF(GERAL!$B11="","",GERAL!$L11)</f>
        <v/>
      </c>
    </row>
    <row r="12">
      <c r="A12" s="19">
        <f>IF(GERAL!$B12="","",GERAL!$A12)</f>
        <v/>
      </c>
      <c r="B12" s="20">
        <f>IF(GERAL!$B12="","",GERAL!$B12)</f>
        <v/>
      </c>
      <c r="C12" s="21">
        <f>IF(GERAL!$B12="","",GERAL!$C12)</f>
        <v/>
      </c>
      <c r="D12" s="11">
        <f>IF(GERAL!$B12="","",GERAL!$D12)</f>
        <v/>
      </c>
      <c r="E12" s="11">
        <f>IF(GERAL!$B12="","",GERAL!$I12)</f>
        <v/>
      </c>
      <c r="F12" s="21">
        <f>IF(GERAL!$B12="","",GERAL!$K12)</f>
        <v/>
      </c>
      <c r="G12" s="21">
        <f>IF(GERAL!$B12="","",GERAL!$L12)</f>
        <v/>
      </c>
    </row>
    <row r="13">
      <c r="A13" s="19">
        <f>IF(GERAL!$B13="","",GERAL!$A13)</f>
        <v/>
      </c>
      <c r="B13" s="20">
        <f>IF(GERAL!$B13="","",GERAL!$B13)</f>
        <v/>
      </c>
      <c r="C13" s="21">
        <f>IF(GERAL!$B13="","",GERAL!$C13)</f>
        <v/>
      </c>
      <c r="D13" s="11">
        <f>IF(GERAL!$B13="","",GERAL!$D13)</f>
        <v/>
      </c>
      <c r="E13" s="11">
        <f>IF(GERAL!$B13="","",GERAL!$I13)</f>
        <v/>
      </c>
      <c r="F13" s="21">
        <f>IF(GERAL!$B13="","",GERAL!$K13)</f>
        <v/>
      </c>
      <c r="G13" s="21">
        <f>IF(GERAL!$B13="","",GERAL!$L13)</f>
        <v/>
      </c>
    </row>
    <row r="14">
      <c r="A14" s="19">
        <f>IF(GERAL!$B14="","",GERAL!$A14)</f>
        <v/>
      </c>
      <c r="B14" s="20">
        <f>IF(GERAL!$B14="","",GERAL!$B14)</f>
        <v/>
      </c>
      <c r="C14" s="21">
        <f>IF(GERAL!$B14="","",GERAL!$C14)</f>
        <v/>
      </c>
      <c r="D14" s="11">
        <f>IF(GERAL!$B14="","",GERAL!$D14)</f>
        <v/>
      </c>
      <c r="E14" s="11">
        <f>IF(GERAL!$B14="","",GERAL!$I14)</f>
        <v/>
      </c>
      <c r="F14" s="21">
        <f>IF(GERAL!$B14="","",GERAL!$K14)</f>
        <v/>
      </c>
      <c r="G14" s="21">
        <f>IF(GERAL!$B14="","",GERAL!$L14)</f>
        <v/>
      </c>
    </row>
    <row r="15">
      <c r="A15" s="19">
        <f>IF(GERAL!$B15="","",GERAL!$A15)</f>
        <v/>
      </c>
      <c r="B15" s="20">
        <f>IF(GERAL!$B15="","",GERAL!$B15)</f>
        <v/>
      </c>
      <c r="C15" s="21">
        <f>IF(GERAL!$B15="","",GERAL!$C15)</f>
        <v/>
      </c>
      <c r="D15" s="11">
        <f>IF(GERAL!$B15="","",GERAL!$D15)</f>
        <v/>
      </c>
      <c r="E15" s="11">
        <f>IF(GERAL!$B15="","",GERAL!$I15)</f>
        <v/>
      </c>
      <c r="F15" s="21">
        <f>IF(GERAL!$B15="","",GERAL!$K15)</f>
        <v/>
      </c>
      <c r="G15" s="21">
        <f>IF(GERAL!$B15="","",GERAL!$L15)</f>
        <v/>
      </c>
    </row>
    <row r="16">
      <c r="A16" s="19">
        <f>IF(GERAL!$B16="","",GERAL!$A16)</f>
        <v/>
      </c>
      <c r="B16" s="20">
        <f>IF(GERAL!$B16="","",GERAL!$B16)</f>
        <v/>
      </c>
      <c r="C16" s="21">
        <f>IF(GERAL!$B16="","",GERAL!$C16)</f>
        <v/>
      </c>
      <c r="D16" s="11">
        <f>IF(GERAL!$B16="","",GERAL!$D16)</f>
        <v/>
      </c>
      <c r="E16" s="11">
        <f>IF(GERAL!$B16="","",GERAL!$I16)</f>
        <v/>
      </c>
      <c r="F16" s="21">
        <f>IF(GERAL!$B16="","",GERAL!$K16)</f>
        <v/>
      </c>
      <c r="G16" s="21">
        <f>IF(GERAL!$B16="","",GERAL!$L16)</f>
        <v/>
      </c>
    </row>
    <row r="17">
      <c r="A17" s="19">
        <f>IF(GERAL!$B17="","",GERAL!$A17)</f>
        <v/>
      </c>
      <c r="B17" s="20">
        <f>IF(GERAL!$B17="","",GERAL!$B17)</f>
        <v/>
      </c>
      <c r="C17" s="21">
        <f>IF(GERAL!$B17="","",GERAL!$C17)</f>
        <v/>
      </c>
      <c r="D17" s="11">
        <f>IF(GERAL!$B17="","",GERAL!$D17)</f>
        <v/>
      </c>
      <c r="E17" s="11">
        <f>IF(GERAL!$B17="","",GERAL!$I17)</f>
        <v/>
      </c>
      <c r="F17" s="21">
        <f>IF(GERAL!$B17="","",GERAL!$K17)</f>
        <v/>
      </c>
      <c r="G17" s="21">
        <f>IF(GERAL!$B17="","",GERAL!$L17)</f>
        <v/>
      </c>
    </row>
    <row r="18">
      <c r="A18" s="19">
        <f>IF(GERAL!$B18="","",GERAL!$A18)</f>
        <v/>
      </c>
      <c r="B18" s="20">
        <f>IF(GERAL!$B18="","",GERAL!$B18)</f>
        <v/>
      </c>
      <c r="C18" s="21">
        <f>IF(GERAL!$B18="","",GERAL!$C18)</f>
        <v/>
      </c>
      <c r="D18" s="11">
        <f>IF(GERAL!$B18="","",GERAL!$D18)</f>
        <v/>
      </c>
      <c r="E18" s="11">
        <f>IF(GERAL!$B18="","",GERAL!$I18)</f>
        <v/>
      </c>
      <c r="F18" s="21">
        <f>IF(GERAL!$B18="","",GERAL!$K18)</f>
        <v/>
      </c>
      <c r="G18" s="21">
        <f>IF(GERAL!$B18="","",GERAL!$L18)</f>
        <v/>
      </c>
    </row>
    <row r="19">
      <c r="A19" s="19">
        <f>IF(GERAL!$B19="","",GERAL!$A19)</f>
        <v/>
      </c>
      <c r="B19" s="20">
        <f>IF(GERAL!$B19="","",GERAL!$B19)</f>
        <v/>
      </c>
      <c r="C19" s="21">
        <f>IF(GERAL!$B19="","",GERAL!$C19)</f>
        <v/>
      </c>
      <c r="D19" s="11">
        <f>IF(GERAL!$B19="","",GERAL!$D19)</f>
        <v/>
      </c>
      <c r="E19" s="11">
        <f>IF(GERAL!$B19="","",GERAL!$I19)</f>
        <v/>
      </c>
      <c r="F19" s="21">
        <f>IF(GERAL!$B19="","",GERAL!$K19)</f>
        <v/>
      </c>
      <c r="G19" s="21">
        <f>IF(GERAL!$B19="","",GERAL!$L19)</f>
        <v/>
      </c>
    </row>
    <row r="20">
      <c r="A20" s="19">
        <f>IF(GERAL!$B20="","",GERAL!$A20)</f>
        <v/>
      </c>
      <c r="B20" s="20">
        <f>IF(GERAL!$B20="","",GERAL!$B20)</f>
        <v/>
      </c>
      <c r="C20" s="21">
        <f>IF(GERAL!$B20="","",GERAL!$C20)</f>
        <v/>
      </c>
      <c r="D20" s="11">
        <f>IF(GERAL!$B20="","",GERAL!$D20)</f>
        <v/>
      </c>
      <c r="E20" s="11">
        <f>IF(GERAL!$B20="","",GERAL!$I20)</f>
        <v/>
      </c>
      <c r="F20" s="21">
        <f>IF(GERAL!$B20="","",GERAL!$K20)</f>
        <v/>
      </c>
      <c r="G20" s="21">
        <f>IF(GERAL!$B20="","",GERAL!$L20)</f>
        <v/>
      </c>
    </row>
    <row r="21">
      <c r="A21" s="12" t="n"/>
      <c r="B21" s="12" t="n"/>
      <c r="C21" s="13" t="inlineStr">
        <is>
          <t>TOTAL</t>
        </is>
      </c>
      <c r="D21" s="15">
        <f>SUM(D5:D20)</f>
        <v/>
      </c>
      <c r="E21" s="15">
        <f>SUM(E5:E20)</f>
        <v/>
      </c>
    </row>
    <row r="23">
      <c r="A23" s="2" t="inlineStr">
        <is>
          <t>PROTOCOLO DE RECEBIMENTO — ASSINATURAS</t>
        </is>
      </c>
    </row>
    <row r="24">
      <c r="A24">
        <f>IF(GERAL!$B5="","",GERAL!$B5&amp;": _______________________________")</f>
        <v/>
      </c>
    </row>
    <row r="25">
      <c r="A25">
        <f>IF(GERAL!$B6="","",GERAL!$B6&amp;": _______________________________")</f>
        <v/>
      </c>
    </row>
    <row r="26">
      <c r="A26">
        <f>IF(GERAL!$B7="","",GERAL!$B7&amp;": _______________________________")</f>
        <v/>
      </c>
    </row>
    <row r="27">
      <c r="A27">
        <f>IF(GERAL!$B8="","",GERAL!$B8&amp;": _______________________________")</f>
        <v/>
      </c>
    </row>
    <row r="28">
      <c r="A28">
        <f>IF(GERAL!$B9="","",GERAL!$B9&amp;": _______________________________")</f>
        <v/>
      </c>
    </row>
    <row r="29">
      <c r="A29">
        <f>IF(GERAL!$B10="","",GERAL!$B10&amp;": _______________________________")</f>
        <v/>
      </c>
    </row>
    <row r="30">
      <c r="A30">
        <f>IF(GERAL!$B11="","",GERAL!$B11&amp;": _______________________________")</f>
        <v/>
      </c>
    </row>
    <row r="31">
      <c r="A31">
        <f>IF(GERAL!$B12="","",GERAL!$B12&amp;": _______________________________")</f>
        <v/>
      </c>
    </row>
    <row r="32">
      <c r="A32">
        <f>IF(GERAL!$B13="","",GERAL!$B13&amp;": _______________________________")</f>
        <v/>
      </c>
    </row>
    <row r="33">
      <c r="A33">
        <f>IF(GERAL!$B14="","",GERAL!$B14&amp;": _______________________________")</f>
        <v/>
      </c>
    </row>
    <row r="34">
      <c r="A34">
        <f>IF(GERAL!$B15="","",GERAL!$B15&amp;": _______________________________")</f>
        <v/>
      </c>
    </row>
    <row r="35">
      <c r="A35">
        <f>IF(GERAL!$B16="","",GERAL!$B16&amp;": _______________________________")</f>
        <v/>
      </c>
    </row>
    <row r="36">
      <c r="A36">
        <f>IF(GERAL!$B17="","",GERAL!$B17&amp;": _______________________________")</f>
        <v/>
      </c>
    </row>
    <row r="37">
      <c r="A37">
        <f>IF(GERAL!$B18="","",GERAL!$B18&amp;": _______________________________")</f>
        <v/>
      </c>
    </row>
    <row r="38">
      <c r="A38">
        <f>IF(GERAL!$B19="","",GERAL!$B19&amp;": _______________________________")</f>
        <v/>
      </c>
    </row>
    <row r="39">
      <c r="A39">
        <f>IF(GERAL!$B20="","",GERAL!$B20&amp;": _______________________________")</f>
        <v/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3" customWidth="1" min="4" max="4"/>
    <col width="11" customWidth="1" min="5" max="5"/>
    <col width="10" customWidth="1" min="6" max="6"/>
    <col width="9" customWidth="1" min="7" max="7"/>
    <col width="10" customWidth="1" min="8" max="8"/>
    <col width="15" customWidth="1" min="9" max="9"/>
    <col width="20" customWidth="1" min="10" max="10"/>
    <col width="17" customWidth="1" min="11" max="11"/>
  </cols>
  <sheetData>
    <row r="1">
      <c r="A1" s="17">
        <f>"RELATÓRIO DE PAGAMENTO — FINAL DO MÊS — "&amp;GERAL!$A$1</f>
        <v/>
      </c>
    </row>
    <row r="2">
      <c r="A2" s="18">
        <f>"Competência: "&amp;GERAL!$B$2&amp;"    ·    Data: "&amp;GERAL!$D$2</f>
        <v/>
      </c>
    </row>
    <row r="4" ht="28" customHeight="1">
      <c r="A4" s="6" t="inlineStr">
        <is>
          <t>Nº</t>
        </is>
      </c>
      <c r="B4" s="6" t="inlineStr">
        <is>
          <t>NOME</t>
        </is>
      </c>
      <c r="C4" s="6" t="inlineStr">
        <is>
          <t>FUNÇÃO</t>
        </is>
      </c>
      <c r="D4" s="6" t="inlineStr">
        <is>
          <t>TOTAL BRUTO</t>
        </is>
      </c>
      <c r="E4" s="6" t="inlineStr">
        <is>
          <t>QUINZENA</t>
        </is>
      </c>
      <c r="F4" s="6" t="inlineStr">
        <is>
          <t>INSS</t>
        </is>
      </c>
      <c r="G4" s="6" t="inlineStr">
        <is>
          <t>FAMÍLIA</t>
        </is>
      </c>
      <c r="H4" s="6" t="inlineStr">
        <is>
          <t>IRRF</t>
        </is>
      </c>
      <c r="I4" s="6" t="inlineStr">
        <is>
          <t>MENSAL (LÍQUIDO)</t>
        </is>
      </c>
      <c r="J4" s="6" t="inlineStr">
        <is>
          <t>AGÊNCIA / C/C</t>
        </is>
      </c>
      <c r="K4" s="6" t="inlineStr">
        <is>
          <t>PIX</t>
        </is>
      </c>
    </row>
    <row r="5">
      <c r="A5" s="19">
        <f>IF(GERAL!$B5="","",GERAL!$A5)</f>
        <v/>
      </c>
      <c r="B5" s="20">
        <f>IF(GERAL!$B5="","",GERAL!$B5)</f>
        <v/>
      </c>
      <c r="C5" s="21">
        <f>IF(GERAL!$B5="","",GERAL!$C5)</f>
        <v/>
      </c>
      <c r="D5" s="11">
        <f>IF(GERAL!$B5="","",GERAL!$D5)</f>
        <v/>
      </c>
      <c r="E5" s="11">
        <f>IF(GERAL!$B5="","",GERAL!$I5)</f>
        <v/>
      </c>
      <c r="F5" s="11">
        <f>IF(GERAL!$B5="","",GERAL!$F5)</f>
        <v/>
      </c>
      <c r="G5" s="11">
        <f>IF(GERAL!$B5="","",GERAL!$G5)</f>
        <v/>
      </c>
      <c r="H5" s="11">
        <f>IF(GERAL!$B5="","",GERAL!$H5)</f>
        <v/>
      </c>
      <c r="I5" s="11">
        <f>IF(GERAL!$B5="","",GERAL!$J5)</f>
        <v/>
      </c>
      <c r="J5" s="21">
        <f>IF(GERAL!$B5="","",GERAL!$K5)</f>
        <v/>
      </c>
      <c r="K5" s="21">
        <f>IF(GERAL!$B5="","",GERAL!$L5)</f>
        <v/>
      </c>
    </row>
    <row r="6">
      <c r="A6" s="19">
        <f>IF(GERAL!$B6="","",GERAL!$A6)</f>
        <v/>
      </c>
      <c r="B6" s="20">
        <f>IF(GERAL!$B6="","",GERAL!$B6)</f>
        <v/>
      </c>
      <c r="C6" s="21">
        <f>IF(GERAL!$B6="","",GERAL!$C6)</f>
        <v/>
      </c>
      <c r="D6" s="11">
        <f>IF(GERAL!$B6="","",GERAL!$D6)</f>
        <v/>
      </c>
      <c r="E6" s="11">
        <f>IF(GERAL!$B6="","",GERAL!$I6)</f>
        <v/>
      </c>
      <c r="F6" s="11">
        <f>IF(GERAL!$B6="","",GERAL!$F6)</f>
        <v/>
      </c>
      <c r="G6" s="11">
        <f>IF(GERAL!$B6="","",GERAL!$G6)</f>
        <v/>
      </c>
      <c r="H6" s="11">
        <f>IF(GERAL!$B6="","",GERAL!$H6)</f>
        <v/>
      </c>
      <c r="I6" s="11">
        <f>IF(GERAL!$B6="","",GERAL!$J6)</f>
        <v/>
      </c>
      <c r="J6" s="21">
        <f>IF(GERAL!$B6="","",GERAL!$K6)</f>
        <v/>
      </c>
      <c r="K6" s="21">
        <f>IF(GERAL!$B6="","",GERAL!$L6)</f>
        <v/>
      </c>
    </row>
    <row r="7">
      <c r="A7" s="19">
        <f>IF(GERAL!$B7="","",GERAL!$A7)</f>
        <v/>
      </c>
      <c r="B7" s="20">
        <f>IF(GERAL!$B7="","",GERAL!$B7)</f>
        <v/>
      </c>
      <c r="C7" s="21">
        <f>IF(GERAL!$B7="","",GERAL!$C7)</f>
        <v/>
      </c>
      <c r="D7" s="11">
        <f>IF(GERAL!$B7="","",GERAL!$D7)</f>
        <v/>
      </c>
      <c r="E7" s="11">
        <f>IF(GERAL!$B7="","",GERAL!$I7)</f>
        <v/>
      </c>
      <c r="F7" s="11">
        <f>IF(GERAL!$B7="","",GERAL!$F7)</f>
        <v/>
      </c>
      <c r="G7" s="11">
        <f>IF(GERAL!$B7="","",GERAL!$G7)</f>
        <v/>
      </c>
      <c r="H7" s="11">
        <f>IF(GERAL!$B7="","",GERAL!$H7)</f>
        <v/>
      </c>
      <c r="I7" s="11">
        <f>IF(GERAL!$B7="","",GERAL!$J7)</f>
        <v/>
      </c>
      <c r="J7" s="21">
        <f>IF(GERAL!$B7="","",GERAL!$K7)</f>
        <v/>
      </c>
      <c r="K7" s="21">
        <f>IF(GERAL!$B7="","",GERAL!$L7)</f>
        <v/>
      </c>
    </row>
    <row r="8">
      <c r="A8" s="19">
        <f>IF(GERAL!$B8="","",GERAL!$A8)</f>
        <v/>
      </c>
      <c r="B8" s="20">
        <f>IF(GERAL!$B8="","",GERAL!$B8)</f>
        <v/>
      </c>
      <c r="C8" s="21">
        <f>IF(GERAL!$B8="","",GERAL!$C8)</f>
        <v/>
      </c>
      <c r="D8" s="11">
        <f>IF(GERAL!$B8="","",GERAL!$D8)</f>
        <v/>
      </c>
      <c r="E8" s="11">
        <f>IF(GERAL!$B8="","",GERAL!$I8)</f>
        <v/>
      </c>
      <c r="F8" s="11">
        <f>IF(GERAL!$B8="","",GERAL!$F8)</f>
        <v/>
      </c>
      <c r="G8" s="11">
        <f>IF(GERAL!$B8="","",GERAL!$G8)</f>
        <v/>
      </c>
      <c r="H8" s="11">
        <f>IF(GERAL!$B8="","",GERAL!$H8)</f>
        <v/>
      </c>
      <c r="I8" s="11">
        <f>IF(GERAL!$B8="","",GERAL!$J8)</f>
        <v/>
      </c>
      <c r="J8" s="21">
        <f>IF(GERAL!$B8="","",GERAL!$K8)</f>
        <v/>
      </c>
      <c r="K8" s="21">
        <f>IF(GERAL!$B8="","",GERAL!$L8)</f>
        <v/>
      </c>
    </row>
    <row r="9">
      <c r="A9" s="19">
        <f>IF(GERAL!$B9="","",GERAL!$A9)</f>
        <v/>
      </c>
      <c r="B9" s="20">
        <f>IF(GERAL!$B9="","",GERAL!$B9)</f>
        <v/>
      </c>
      <c r="C9" s="21">
        <f>IF(GERAL!$B9="","",GERAL!$C9)</f>
        <v/>
      </c>
      <c r="D9" s="11">
        <f>IF(GERAL!$B9="","",GERAL!$D9)</f>
        <v/>
      </c>
      <c r="E9" s="11">
        <f>IF(GERAL!$B9="","",GERAL!$I9)</f>
        <v/>
      </c>
      <c r="F9" s="11">
        <f>IF(GERAL!$B9="","",GERAL!$F9)</f>
        <v/>
      </c>
      <c r="G9" s="11">
        <f>IF(GERAL!$B9="","",GERAL!$G9)</f>
        <v/>
      </c>
      <c r="H9" s="11">
        <f>IF(GERAL!$B9="","",GERAL!$H9)</f>
        <v/>
      </c>
      <c r="I9" s="11">
        <f>IF(GERAL!$B9="","",GERAL!$J9)</f>
        <v/>
      </c>
      <c r="J9" s="21">
        <f>IF(GERAL!$B9="","",GERAL!$K9)</f>
        <v/>
      </c>
      <c r="K9" s="21">
        <f>IF(GERAL!$B9="","",GERAL!$L9)</f>
        <v/>
      </c>
    </row>
    <row r="10">
      <c r="A10" s="19">
        <f>IF(GERAL!$B10="","",GERAL!$A10)</f>
        <v/>
      </c>
      <c r="B10" s="20">
        <f>IF(GERAL!$B10="","",GERAL!$B10)</f>
        <v/>
      </c>
      <c r="C10" s="21">
        <f>IF(GERAL!$B10="","",GERAL!$C10)</f>
        <v/>
      </c>
      <c r="D10" s="11">
        <f>IF(GERAL!$B10="","",GERAL!$D10)</f>
        <v/>
      </c>
      <c r="E10" s="11">
        <f>IF(GERAL!$B10="","",GERAL!$I10)</f>
        <v/>
      </c>
      <c r="F10" s="11">
        <f>IF(GERAL!$B10="","",GERAL!$F10)</f>
        <v/>
      </c>
      <c r="G10" s="11">
        <f>IF(GERAL!$B10="","",GERAL!$G10)</f>
        <v/>
      </c>
      <c r="H10" s="11">
        <f>IF(GERAL!$B10="","",GERAL!$H10)</f>
        <v/>
      </c>
      <c r="I10" s="11">
        <f>IF(GERAL!$B10="","",GERAL!$J10)</f>
        <v/>
      </c>
      <c r="J10" s="21">
        <f>IF(GERAL!$B10="","",GERAL!$K10)</f>
        <v/>
      </c>
      <c r="K10" s="21">
        <f>IF(GERAL!$B10="","",GERAL!$L10)</f>
        <v/>
      </c>
    </row>
    <row r="11">
      <c r="A11" s="19">
        <f>IF(GERAL!$B11="","",GERAL!$A11)</f>
        <v/>
      </c>
      <c r="B11" s="20">
        <f>IF(GERAL!$B11="","",GERAL!$B11)</f>
        <v/>
      </c>
      <c r="C11" s="21">
        <f>IF(GERAL!$B11="","",GERAL!$C11)</f>
        <v/>
      </c>
      <c r="D11" s="11">
        <f>IF(GERAL!$B11="","",GERAL!$D11)</f>
        <v/>
      </c>
      <c r="E11" s="11">
        <f>IF(GERAL!$B11="","",GERAL!$I11)</f>
        <v/>
      </c>
      <c r="F11" s="11">
        <f>IF(GERAL!$B11="","",GERAL!$F11)</f>
        <v/>
      </c>
      <c r="G11" s="11">
        <f>IF(GERAL!$B11="","",GERAL!$G11)</f>
        <v/>
      </c>
      <c r="H11" s="11">
        <f>IF(GERAL!$B11="","",GERAL!$H11)</f>
        <v/>
      </c>
      <c r="I11" s="11">
        <f>IF(GERAL!$B11="","",GERAL!$J11)</f>
        <v/>
      </c>
      <c r="J11" s="21">
        <f>IF(GERAL!$B11="","",GERAL!$K11)</f>
        <v/>
      </c>
      <c r="K11" s="21">
        <f>IF(GERAL!$B11="","",GERAL!$L11)</f>
        <v/>
      </c>
    </row>
    <row r="12">
      <c r="A12" s="19">
        <f>IF(GERAL!$B12="","",GERAL!$A12)</f>
        <v/>
      </c>
      <c r="B12" s="20">
        <f>IF(GERAL!$B12="","",GERAL!$B12)</f>
        <v/>
      </c>
      <c r="C12" s="21">
        <f>IF(GERAL!$B12="","",GERAL!$C12)</f>
        <v/>
      </c>
      <c r="D12" s="11">
        <f>IF(GERAL!$B12="","",GERAL!$D12)</f>
        <v/>
      </c>
      <c r="E12" s="11">
        <f>IF(GERAL!$B12="","",GERAL!$I12)</f>
        <v/>
      </c>
      <c r="F12" s="11">
        <f>IF(GERAL!$B12="","",GERAL!$F12)</f>
        <v/>
      </c>
      <c r="G12" s="11">
        <f>IF(GERAL!$B12="","",GERAL!$G12)</f>
        <v/>
      </c>
      <c r="H12" s="11">
        <f>IF(GERAL!$B12="","",GERAL!$H12)</f>
        <v/>
      </c>
      <c r="I12" s="11">
        <f>IF(GERAL!$B12="","",GERAL!$J12)</f>
        <v/>
      </c>
      <c r="J12" s="21">
        <f>IF(GERAL!$B12="","",GERAL!$K12)</f>
        <v/>
      </c>
      <c r="K12" s="21">
        <f>IF(GERAL!$B12="","",GERAL!$L12)</f>
        <v/>
      </c>
    </row>
    <row r="13">
      <c r="A13" s="19">
        <f>IF(GERAL!$B13="","",GERAL!$A13)</f>
        <v/>
      </c>
      <c r="B13" s="20">
        <f>IF(GERAL!$B13="","",GERAL!$B13)</f>
        <v/>
      </c>
      <c r="C13" s="21">
        <f>IF(GERAL!$B13="","",GERAL!$C13)</f>
        <v/>
      </c>
      <c r="D13" s="11">
        <f>IF(GERAL!$B13="","",GERAL!$D13)</f>
        <v/>
      </c>
      <c r="E13" s="11">
        <f>IF(GERAL!$B13="","",GERAL!$I13)</f>
        <v/>
      </c>
      <c r="F13" s="11">
        <f>IF(GERAL!$B13="","",GERAL!$F13)</f>
        <v/>
      </c>
      <c r="G13" s="11">
        <f>IF(GERAL!$B13="","",GERAL!$G13)</f>
        <v/>
      </c>
      <c r="H13" s="11">
        <f>IF(GERAL!$B13="","",GERAL!$H13)</f>
        <v/>
      </c>
      <c r="I13" s="11">
        <f>IF(GERAL!$B13="","",GERAL!$J13)</f>
        <v/>
      </c>
      <c r="J13" s="21">
        <f>IF(GERAL!$B13="","",GERAL!$K13)</f>
        <v/>
      </c>
      <c r="K13" s="21">
        <f>IF(GERAL!$B13="","",GERAL!$L13)</f>
        <v/>
      </c>
    </row>
    <row r="14">
      <c r="A14" s="19">
        <f>IF(GERAL!$B14="","",GERAL!$A14)</f>
        <v/>
      </c>
      <c r="B14" s="20">
        <f>IF(GERAL!$B14="","",GERAL!$B14)</f>
        <v/>
      </c>
      <c r="C14" s="21">
        <f>IF(GERAL!$B14="","",GERAL!$C14)</f>
        <v/>
      </c>
      <c r="D14" s="11">
        <f>IF(GERAL!$B14="","",GERAL!$D14)</f>
        <v/>
      </c>
      <c r="E14" s="11">
        <f>IF(GERAL!$B14="","",GERAL!$I14)</f>
        <v/>
      </c>
      <c r="F14" s="11">
        <f>IF(GERAL!$B14="","",GERAL!$F14)</f>
        <v/>
      </c>
      <c r="G14" s="11">
        <f>IF(GERAL!$B14="","",GERAL!$G14)</f>
        <v/>
      </c>
      <c r="H14" s="11">
        <f>IF(GERAL!$B14="","",GERAL!$H14)</f>
        <v/>
      </c>
      <c r="I14" s="11">
        <f>IF(GERAL!$B14="","",GERAL!$J14)</f>
        <v/>
      </c>
      <c r="J14" s="21">
        <f>IF(GERAL!$B14="","",GERAL!$K14)</f>
        <v/>
      </c>
      <c r="K14" s="21">
        <f>IF(GERAL!$B14="","",GERAL!$L14)</f>
        <v/>
      </c>
    </row>
    <row r="15">
      <c r="A15" s="19">
        <f>IF(GERAL!$B15="","",GERAL!$A15)</f>
        <v/>
      </c>
      <c r="B15" s="20">
        <f>IF(GERAL!$B15="","",GERAL!$B15)</f>
        <v/>
      </c>
      <c r="C15" s="21">
        <f>IF(GERAL!$B15="","",GERAL!$C15)</f>
        <v/>
      </c>
      <c r="D15" s="11">
        <f>IF(GERAL!$B15="","",GERAL!$D15)</f>
        <v/>
      </c>
      <c r="E15" s="11">
        <f>IF(GERAL!$B15="","",GERAL!$I15)</f>
        <v/>
      </c>
      <c r="F15" s="11">
        <f>IF(GERAL!$B15="","",GERAL!$F15)</f>
        <v/>
      </c>
      <c r="G15" s="11">
        <f>IF(GERAL!$B15="","",GERAL!$G15)</f>
        <v/>
      </c>
      <c r="H15" s="11">
        <f>IF(GERAL!$B15="","",GERAL!$H15)</f>
        <v/>
      </c>
      <c r="I15" s="11">
        <f>IF(GERAL!$B15="","",GERAL!$J15)</f>
        <v/>
      </c>
      <c r="J15" s="21">
        <f>IF(GERAL!$B15="","",GERAL!$K15)</f>
        <v/>
      </c>
      <c r="K15" s="21">
        <f>IF(GERAL!$B15="","",GERAL!$L15)</f>
        <v/>
      </c>
    </row>
    <row r="16">
      <c r="A16" s="19">
        <f>IF(GERAL!$B16="","",GERAL!$A16)</f>
        <v/>
      </c>
      <c r="B16" s="20">
        <f>IF(GERAL!$B16="","",GERAL!$B16)</f>
        <v/>
      </c>
      <c r="C16" s="21">
        <f>IF(GERAL!$B16="","",GERAL!$C16)</f>
        <v/>
      </c>
      <c r="D16" s="11">
        <f>IF(GERAL!$B16="","",GERAL!$D16)</f>
        <v/>
      </c>
      <c r="E16" s="11">
        <f>IF(GERAL!$B16="","",GERAL!$I16)</f>
        <v/>
      </c>
      <c r="F16" s="11">
        <f>IF(GERAL!$B16="","",GERAL!$F16)</f>
        <v/>
      </c>
      <c r="G16" s="11">
        <f>IF(GERAL!$B16="","",GERAL!$G16)</f>
        <v/>
      </c>
      <c r="H16" s="11">
        <f>IF(GERAL!$B16="","",GERAL!$H16)</f>
        <v/>
      </c>
      <c r="I16" s="11">
        <f>IF(GERAL!$B16="","",GERAL!$J16)</f>
        <v/>
      </c>
      <c r="J16" s="21">
        <f>IF(GERAL!$B16="","",GERAL!$K16)</f>
        <v/>
      </c>
      <c r="K16" s="21">
        <f>IF(GERAL!$B16="","",GERAL!$L16)</f>
        <v/>
      </c>
    </row>
    <row r="17">
      <c r="A17" s="19">
        <f>IF(GERAL!$B17="","",GERAL!$A17)</f>
        <v/>
      </c>
      <c r="B17" s="20">
        <f>IF(GERAL!$B17="","",GERAL!$B17)</f>
        <v/>
      </c>
      <c r="C17" s="21">
        <f>IF(GERAL!$B17="","",GERAL!$C17)</f>
        <v/>
      </c>
      <c r="D17" s="11">
        <f>IF(GERAL!$B17="","",GERAL!$D17)</f>
        <v/>
      </c>
      <c r="E17" s="11">
        <f>IF(GERAL!$B17="","",GERAL!$I17)</f>
        <v/>
      </c>
      <c r="F17" s="11">
        <f>IF(GERAL!$B17="","",GERAL!$F17)</f>
        <v/>
      </c>
      <c r="G17" s="11">
        <f>IF(GERAL!$B17="","",GERAL!$G17)</f>
        <v/>
      </c>
      <c r="H17" s="11">
        <f>IF(GERAL!$B17="","",GERAL!$H17)</f>
        <v/>
      </c>
      <c r="I17" s="11">
        <f>IF(GERAL!$B17="","",GERAL!$J17)</f>
        <v/>
      </c>
      <c r="J17" s="21">
        <f>IF(GERAL!$B17="","",GERAL!$K17)</f>
        <v/>
      </c>
      <c r="K17" s="21">
        <f>IF(GERAL!$B17="","",GERAL!$L17)</f>
        <v/>
      </c>
    </row>
    <row r="18">
      <c r="A18" s="19">
        <f>IF(GERAL!$B18="","",GERAL!$A18)</f>
        <v/>
      </c>
      <c r="B18" s="20">
        <f>IF(GERAL!$B18="","",GERAL!$B18)</f>
        <v/>
      </c>
      <c r="C18" s="21">
        <f>IF(GERAL!$B18="","",GERAL!$C18)</f>
        <v/>
      </c>
      <c r="D18" s="11">
        <f>IF(GERAL!$B18="","",GERAL!$D18)</f>
        <v/>
      </c>
      <c r="E18" s="11">
        <f>IF(GERAL!$B18="","",GERAL!$I18)</f>
        <v/>
      </c>
      <c r="F18" s="11">
        <f>IF(GERAL!$B18="","",GERAL!$F18)</f>
        <v/>
      </c>
      <c r="G18" s="11">
        <f>IF(GERAL!$B18="","",GERAL!$G18)</f>
        <v/>
      </c>
      <c r="H18" s="11">
        <f>IF(GERAL!$B18="","",GERAL!$H18)</f>
        <v/>
      </c>
      <c r="I18" s="11">
        <f>IF(GERAL!$B18="","",GERAL!$J18)</f>
        <v/>
      </c>
      <c r="J18" s="21">
        <f>IF(GERAL!$B18="","",GERAL!$K18)</f>
        <v/>
      </c>
      <c r="K18" s="21">
        <f>IF(GERAL!$B18="","",GERAL!$L18)</f>
        <v/>
      </c>
    </row>
    <row r="19">
      <c r="A19" s="19">
        <f>IF(GERAL!$B19="","",GERAL!$A19)</f>
        <v/>
      </c>
      <c r="B19" s="20">
        <f>IF(GERAL!$B19="","",GERAL!$B19)</f>
        <v/>
      </c>
      <c r="C19" s="21">
        <f>IF(GERAL!$B19="","",GERAL!$C19)</f>
        <v/>
      </c>
      <c r="D19" s="11">
        <f>IF(GERAL!$B19="","",GERAL!$D19)</f>
        <v/>
      </c>
      <c r="E19" s="11">
        <f>IF(GERAL!$B19="","",GERAL!$I19)</f>
        <v/>
      </c>
      <c r="F19" s="11">
        <f>IF(GERAL!$B19="","",GERAL!$F19)</f>
        <v/>
      </c>
      <c r="G19" s="11">
        <f>IF(GERAL!$B19="","",GERAL!$G19)</f>
        <v/>
      </c>
      <c r="H19" s="11">
        <f>IF(GERAL!$B19="","",GERAL!$H19)</f>
        <v/>
      </c>
      <c r="I19" s="11">
        <f>IF(GERAL!$B19="","",GERAL!$J19)</f>
        <v/>
      </c>
      <c r="J19" s="21">
        <f>IF(GERAL!$B19="","",GERAL!$K19)</f>
        <v/>
      </c>
      <c r="K19" s="21">
        <f>IF(GERAL!$B19="","",GERAL!$L19)</f>
        <v/>
      </c>
    </row>
    <row r="20">
      <c r="A20" s="19">
        <f>IF(GERAL!$B20="","",GERAL!$A20)</f>
        <v/>
      </c>
      <c r="B20" s="20">
        <f>IF(GERAL!$B20="","",GERAL!$B20)</f>
        <v/>
      </c>
      <c r="C20" s="21">
        <f>IF(GERAL!$B20="","",GERAL!$C20)</f>
        <v/>
      </c>
      <c r="D20" s="11">
        <f>IF(GERAL!$B20="","",GERAL!$D20)</f>
        <v/>
      </c>
      <c r="E20" s="11">
        <f>IF(GERAL!$B20="","",GERAL!$I20)</f>
        <v/>
      </c>
      <c r="F20" s="11">
        <f>IF(GERAL!$B20="","",GERAL!$F20)</f>
        <v/>
      </c>
      <c r="G20" s="11">
        <f>IF(GERAL!$B20="","",GERAL!$G20)</f>
        <v/>
      </c>
      <c r="H20" s="11">
        <f>IF(GERAL!$B20="","",GERAL!$H20)</f>
        <v/>
      </c>
      <c r="I20" s="11">
        <f>IF(GERAL!$B20="","",GERAL!$J20)</f>
        <v/>
      </c>
      <c r="J20" s="21">
        <f>IF(GERAL!$B20="","",GERAL!$K20)</f>
        <v/>
      </c>
      <c r="K20" s="21">
        <f>IF(GERAL!$B20="","",GERAL!$L20)</f>
        <v/>
      </c>
    </row>
    <row r="21">
      <c r="A21" s="12" t="n"/>
      <c r="B21" s="12" t="n"/>
      <c r="C21" s="13" t="inlineStr">
        <is>
          <t>TOTAL</t>
        </is>
      </c>
      <c r="D21" s="12" t="n"/>
      <c r="E21" s="14">
        <f>SUM(E5:E20)</f>
        <v/>
      </c>
      <c r="F21" s="14">
        <f>SUM(F5:F20)</f>
        <v/>
      </c>
      <c r="G21" s="15">
        <f>SUM(G5:G20)</f>
        <v/>
      </c>
      <c r="H21" s="15">
        <f>SUM(H5:H20)</f>
        <v/>
      </c>
      <c r="I21" s="15">
        <f>SUM(I5:I20)</f>
        <v/>
      </c>
    </row>
    <row r="23">
      <c r="A23" s="22">
        <f>"TERMO DE QUITAÇÃO — Declaramos para os devidos fins que recebemos as importâncias líquidas discriminadas na tabela acima, referentes ao mês de "&amp;GERAL!$B$2&amp;", nada mais tendo a reclamar quanto aos valores aqui expressos."</f>
        <v/>
      </c>
    </row>
    <row r="24"/>
    <row r="26">
      <c r="A26" s="2" t="inlineStr">
        <is>
          <t>ASSINATURAS:</t>
        </is>
      </c>
    </row>
    <row r="27">
      <c r="A27">
        <f>IF(GERAL!$B5="","",GERAL!$B5&amp;": _______________________________________________")</f>
        <v/>
      </c>
    </row>
    <row r="28">
      <c r="A28">
        <f>IF(GERAL!$B6="","",GERAL!$B6&amp;": _______________________________________________")</f>
        <v/>
      </c>
    </row>
    <row r="29">
      <c r="A29">
        <f>IF(GERAL!$B7="","",GERAL!$B7&amp;": _______________________________________________")</f>
        <v/>
      </c>
    </row>
    <row r="30">
      <c r="A30">
        <f>IF(GERAL!$B8="","",GERAL!$B8&amp;": _______________________________________________")</f>
        <v/>
      </c>
    </row>
    <row r="31">
      <c r="A31">
        <f>IF(GERAL!$B9="","",GERAL!$B9&amp;": _______________________________________________")</f>
        <v/>
      </c>
    </row>
    <row r="32">
      <c r="A32">
        <f>IF(GERAL!$B10="","",GERAL!$B10&amp;": _______________________________________________")</f>
        <v/>
      </c>
    </row>
    <row r="33">
      <c r="A33">
        <f>IF(GERAL!$B11="","",GERAL!$B11&amp;": _______________________________________________")</f>
        <v/>
      </c>
    </row>
    <row r="34">
      <c r="A34">
        <f>IF(GERAL!$B12="","",GERAL!$B12&amp;": _______________________________________________")</f>
        <v/>
      </c>
    </row>
    <row r="35">
      <c r="A35">
        <f>IF(GERAL!$B13="","",GERAL!$B13&amp;": _______________________________________________")</f>
        <v/>
      </c>
    </row>
    <row r="36">
      <c r="A36">
        <f>IF(GERAL!$B14="","",GERAL!$B14&amp;": _______________________________________________")</f>
        <v/>
      </c>
    </row>
    <row r="37">
      <c r="A37">
        <f>IF(GERAL!$B15="","",GERAL!$B15&amp;": _______________________________________________")</f>
        <v/>
      </c>
    </row>
    <row r="38">
      <c r="A38">
        <f>IF(GERAL!$B16="","",GERAL!$B16&amp;": _______________________________________________")</f>
        <v/>
      </c>
    </row>
    <row r="39">
      <c r="A39">
        <f>IF(GERAL!$B17="","",GERAL!$B17&amp;": _______________________________________________")</f>
        <v/>
      </c>
    </row>
    <row r="40">
      <c r="A40">
        <f>IF(GERAL!$B18="","",GERAL!$B18&amp;": _______________________________________________")</f>
        <v/>
      </c>
    </row>
    <row r="41">
      <c r="A41">
        <f>IF(GERAL!$B19="","",GERAL!$B19&amp;": _______________________________________________")</f>
        <v/>
      </c>
    </row>
    <row r="42">
      <c r="A42">
        <f>IF(GERAL!$B20="","",GERAL!$B20&amp;": _______________________________________________")</f>
        <v/>
      </c>
    </row>
  </sheetData>
  <mergeCells count="1">
    <mergeCell ref="A23:K2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" customWidth="1" min="3" max="3"/>
    <col width="11" customWidth="1" min="4" max="4"/>
    <col width="13" customWidth="1" min="5" max="5"/>
    <col width="9" customWidth="1" min="6" max="6"/>
    <col width="9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20" customWidth="1" min="13" max="13"/>
    <col width="17" customWidth="1" min="14" max="14"/>
  </cols>
  <sheetData>
    <row r="1">
      <c r="A1" s="17">
        <f>"RELATÓRIO DE PRODUÇÃO — "&amp;GERAL!$A$1</f>
        <v/>
      </c>
    </row>
    <row r="2">
      <c r="A2" s="18">
        <f>"Competência: "&amp;GERAL!$B$2&amp;"    ·    Data: "&amp;GERAL!$D$2</f>
        <v/>
      </c>
    </row>
    <row r="4" ht="28" customHeight="1">
      <c r="A4" s="6" t="inlineStr">
        <is>
          <t>Nº</t>
        </is>
      </c>
      <c r="B4" s="6" t="inlineStr">
        <is>
          <t>NOME</t>
        </is>
      </c>
      <c r="C4" s="6" t="inlineStr">
        <is>
          <t>OBRAS</t>
        </is>
      </c>
      <c r="D4" s="6" t="inlineStr">
        <is>
          <t>VALOR/OBRA</t>
        </is>
      </c>
      <c r="E4" s="6" t="inlineStr">
        <is>
          <t>LIMP/LUBRIF.</t>
        </is>
      </c>
      <c r="F4" s="6" t="inlineStr">
        <is>
          <t>SÁBADO</t>
        </is>
      </c>
      <c r="G4" s="6" t="inlineStr">
        <is>
          <t>FERIADO</t>
        </is>
      </c>
      <c r="H4" s="6" t="inlineStr">
        <is>
          <t>AJUDA DE CUSTO</t>
        </is>
      </c>
      <c r="I4" s="6" t="inlineStr">
        <is>
          <t>ADIANTAMENTO</t>
        </is>
      </c>
      <c r="J4" s="6" t="inlineStr">
        <is>
          <t>GRATIFICAÇÃO</t>
        </is>
      </c>
      <c r="K4" s="6" t="inlineStr">
        <is>
          <t>PRODUÇÃO</t>
        </is>
      </c>
      <c r="L4" s="6" t="inlineStr">
        <is>
          <t>A PAGAR</t>
        </is>
      </c>
      <c r="M4" s="6" t="inlineStr">
        <is>
          <t>AGÊNCIA / C/C</t>
        </is>
      </c>
      <c r="N4" s="6" t="inlineStr">
        <is>
          <t>PIX</t>
        </is>
      </c>
    </row>
    <row r="5">
      <c r="A5" s="19">
        <f>IF(GERAL!$B5="","",GERAL!$A5)</f>
        <v/>
      </c>
      <c r="B5" s="21">
        <f>IF(GERAL!$B5="","",GERAL!$B5)</f>
        <v/>
      </c>
      <c r="C5" s="23" t="n">
        <v>41</v>
      </c>
      <c r="D5" s="9" t="n">
        <v>20</v>
      </c>
      <c r="E5" s="9" t="n">
        <v>100</v>
      </c>
      <c r="F5" s="9" t="n">
        <v>50</v>
      </c>
      <c r="G5" s="9" t="n"/>
      <c r="H5" s="9" t="n"/>
      <c r="I5" s="9" t="n"/>
      <c r="J5" s="9" t="n"/>
      <c r="K5" s="11">
        <f>IF($B5="","",ROUND(C5*D5+E5+F5+G5+H5,2))</f>
        <v/>
      </c>
      <c r="L5" s="11">
        <f>IF($B5="","",ROUND(K5+J5-I5,2))</f>
        <v/>
      </c>
      <c r="M5" s="21">
        <f>IF(GERAL!$B5="","",GERAL!$K5)</f>
        <v/>
      </c>
      <c r="N5" s="21">
        <f>IF(GERAL!$B5="","",GERAL!$L5)</f>
        <v/>
      </c>
    </row>
    <row r="6">
      <c r="A6" s="19">
        <f>IF(GERAL!$B6="","",GERAL!$A6)</f>
        <v/>
      </c>
      <c r="B6" s="21">
        <f>IF(GERAL!$B6="","",GERAL!$B6)</f>
        <v/>
      </c>
      <c r="C6" s="23" t="n">
        <v>49</v>
      </c>
      <c r="D6" s="9" t="n">
        <v>20</v>
      </c>
      <c r="E6" s="9" t="n">
        <v>200</v>
      </c>
      <c r="F6" s="9" t="n">
        <v>50</v>
      </c>
      <c r="G6" s="9" t="n"/>
      <c r="H6" s="9" t="n"/>
      <c r="I6" s="9" t="n"/>
      <c r="J6" s="9" t="n"/>
      <c r="K6" s="11">
        <f>IF($B6="","",ROUND(C6*D6+E6+F6+G6+H6,2))</f>
        <v/>
      </c>
      <c r="L6" s="11">
        <f>IF($B6="","",ROUND(K6+J6-I6,2))</f>
        <v/>
      </c>
      <c r="M6" s="21">
        <f>IF(GERAL!$B6="","",GERAL!$K6)</f>
        <v/>
      </c>
      <c r="N6" s="21">
        <f>IF(GERAL!$B6="","",GERAL!$L6)</f>
        <v/>
      </c>
    </row>
    <row r="7">
      <c r="A7" s="19">
        <f>IF(GERAL!$B7="","",GERAL!$A7)</f>
        <v/>
      </c>
      <c r="B7" s="21">
        <f>IF(GERAL!$B7="","",GERAL!$B7)</f>
        <v/>
      </c>
      <c r="C7" s="23" t="n">
        <v>50</v>
      </c>
      <c r="D7" s="9" t="n">
        <v>20</v>
      </c>
      <c r="E7" s="9" t="n">
        <v>100</v>
      </c>
      <c r="F7" s="9" t="n">
        <v>50</v>
      </c>
      <c r="G7" s="9" t="n"/>
      <c r="H7" s="9" t="n"/>
      <c r="I7" s="9" t="n"/>
      <c r="J7" s="9" t="n"/>
      <c r="K7" s="11">
        <f>IF($B7="","",ROUND(C7*D7+E7+F7+G7+H7,2))</f>
        <v/>
      </c>
      <c r="L7" s="11">
        <f>IF($B7="","",ROUND(K7+J7-I7,2))</f>
        <v/>
      </c>
      <c r="M7" s="21">
        <f>IF(GERAL!$B7="","",GERAL!$K7)</f>
        <v/>
      </c>
      <c r="N7" s="21">
        <f>IF(GERAL!$B7="","",GERAL!$L7)</f>
        <v/>
      </c>
    </row>
    <row r="8">
      <c r="A8" s="19">
        <f>IF(GERAL!$B8="","",GERAL!$A8)</f>
        <v/>
      </c>
      <c r="B8" s="21">
        <f>IF(GERAL!$B8="","",GERAL!$B8)</f>
        <v/>
      </c>
      <c r="C8" s="23" t="n">
        <v>62</v>
      </c>
      <c r="D8" s="9" t="n">
        <v>20</v>
      </c>
      <c r="E8" s="9" t="n">
        <v>100</v>
      </c>
      <c r="F8" s="9" t="n">
        <v>50</v>
      </c>
      <c r="G8" s="9" t="n"/>
      <c r="H8" s="9" t="n"/>
      <c r="I8" s="9" t="n"/>
      <c r="J8" s="9" t="n"/>
      <c r="K8" s="11">
        <f>IF($B8="","",ROUND(C8*D8+E8+F8+G8+H8,2))</f>
        <v/>
      </c>
      <c r="L8" s="11">
        <f>IF($B8="","",ROUND(K8+J8-I8,2))</f>
        <v/>
      </c>
      <c r="M8" s="21">
        <f>IF(GERAL!$B8="","",GERAL!$K8)</f>
        <v/>
      </c>
      <c r="N8" s="21">
        <f>IF(GERAL!$B8="","",GERAL!$L8)</f>
        <v/>
      </c>
    </row>
    <row r="9">
      <c r="A9" s="19">
        <f>IF(GERAL!$B9="","",GERAL!$A9)</f>
        <v/>
      </c>
      <c r="B9" s="21">
        <f>IF(GERAL!$B9="","",GERAL!$B9)</f>
        <v/>
      </c>
      <c r="C9" s="23" t="n">
        <v>62</v>
      </c>
      <c r="D9" s="9" t="n">
        <v>20</v>
      </c>
      <c r="E9" s="9" t="n">
        <v>100</v>
      </c>
      <c r="F9" s="9" t="n">
        <v>50</v>
      </c>
      <c r="G9" s="9" t="n"/>
      <c r="H9" s="9" t="n"/>
      <c r="I9" s="9" t="n"/>
      <c r="J9" s="9" t="n"/>
      <c r="K9" s="11">
        <f>IF($B9="","",ROUND(C9*D9+E9+F9+G9+H9,2))</f>
        <v/>
      </c>
      <c r="L9" s="11">
        <f>IF($B9="","",ROUND(K9+J9-I9,2))</f>
        <v/>
      </c>
      <c r="M9" s="21">
        <f>IF(GERAL!$B9="","",GERAL!$K9)</f>
        <v/>
      </c>
      <c r="N9" s="21">
        <f>IF(GERAL!$B9="","",GERAL!$L9)</f>
        <v/>
      </c>
    </row>
    <row r="10">
      <c r="A10" s="19">
        <f>IF(GERAL!$B10="","",GERAL!$A10)</f>
        <v/>
      </c>
      <c r="B10" s="21">
        <f>IF(GERAL!$B10="","",GERAL!$B10)</f>
        <v/>
      </c>
      <c r="C10" s="23" t="n">
        <v>44</v>
      </c>
      <c r="D10" s="9" t="n">
        <v>20</v>
      </c>
      <c r="E10" s="9" t="n">
        <v>100</v>
      </c>
      <c r="F10" s="9" t="n">
        <v>50</v>
      </c>
      <c r="G10" s="9" t="n"/>
      <c r="H10" s="9" t="n"/>
      <c r="I10" s="9" t="n"/>
      <c r="J10" s="9" t="n"/>
      <c r="K10" s="11">
        <f>IF($B10="","",ROUND(C10*D10+E10+F10+G10+H10,2))</f>
        <v/>
      </c>
      <c r="L10" s="11">
        <f>IF($B10="","",ROUND(K10+J10-I10,2))</f>
        <v/>
      </c>
      <c r="M10" s="21">
        <f>IF(GERAL!$B10="","",GERAL!$K10)</f>
        <v/>
      </c>
      <c r="N10" s="21">
        <f>IF(GERAL!$B10="","",GERAL!$L10)</f>
        <v/>
      </c>
    </row>
    <row r="11">
      <c r="A11" s="19">
        <f>IF(GERAL!$B11="","",GERAL!$A11)</f>
        <v/>
      </c>
      <c r="B11" s="21">
        <f>IF(GERAL!$B11="","",GERAL!$B11)</f>
        <v/>
      </c>
      <c r="C11" s="23" t="n">
        <v>62</v>
      </c>
      <c r="D11" s="9" t="n">
        <v>20</v>
      </c>
      <c r="E11" s="9" t="n">
        <v>100</v>
      </c>
      <c r="F11" s="9" t="n">
        <v>50</v>
      </c>
      <c r="G11" s="9" t="n"/>
      <c r="H11" s="9" t="n"/>
      <c r="I11" s="9" t="n"/>
      <c r="J11" s="9" t="n"/>
      <c r="K11" s="11">
        <f>IF($B11="","",ROUND(C11*D11+E11+F11+G11+H11,2))</f>
        <v/>
      </c>
      <c r="L11" s="11">
        <f>IF($B11="","",ROUND(K11+J11-I11,2))</f>
        <v/>
      </c>
      <c r="M11" s="21">
        <f>IF(GERAL!$B11="","",GERAL!$K11)</f>
        <v/>
      </c>
      <c r="N11" s="21">
        <f>IF(GERAL!$B11="","",GERAL!$L11)</f>
        <v/>
      </c>
    </row>
    <row r="12">
      <c r="A12" s="19">
        <f>IF(GERAL!$B12="","",GERAL!$A12)</f>
        <v/>
      </c>
      <c r="B12" s="21">
        <f>IF(GERAL!$B12="","",GERAL!$B12)</f>
        <v/>
      </c>
      <c r="C12" s="23" t="n">
        <v>50</v>
      </c>
      <c r="D12" s="9" t="n">
        <v>20</v>
      </c>
      <c r="E12" s="9" t="n">
        <v>100</v>
      </c>
      <c r="F12" s="9" t="n">
        <v>50</v>
      </c>
      <c r="G12" s="9" t="n"/>
      <c r="H12" s="9" t="n"/>
      <c r="I12" s="9" t="n"/>
      <c r="J12" s="9" t="n"/>
      <c r="K12" s="11">
        <f>IF($B12="","",ROUND(C12*D12+E12+F12+G12+H12,2))</f>
        <v/>
      </c>
      <c r="L12" s="11">
        <f>IF($B12="","",ROUND(K12+J12-I12,2))</f>
        <v/>
      </c>
      <c r="M12" s="21">
        <f>IF(GERAL!$B12="","",GERAL!$K12)</f>
        <v/>
      </c>
      <c r="N12" s="21">
        <f>IF(GERAL!$B12="","",GERAL!$L12)</f>
        <v/>
      </c>
    </row>
    <row r="21">
      <c r="A21" s="12" t="n"/>
      <c r="B21" s="12" t="n"/>
      <c r="C21" s="13" t="inlineStr">
        <is>
          <t>TOTAL</t>
        </is>
      </c>
      <c r="D21" s="12" t="n"/>
      <c r="E21" s="12" t="n"/>
      <c r="I21" s="15">
        <f>SUM(I5:I20)</f>
        <v/>
      </c>
      <c r="J21" s="15">
        <f>SUM(J5:J20)</f>
        <v/>
      </c>
      <c r="K21" s="15">
        <f>SUM(K5:K20)</f>
        <v/>
      </c>
      <c r="L21" s="15">
        <f>SUM(L5:L20)</f>
        <v/>
      </c>
    </row>
    <row r="22">
      <c r="A22" s="5" t="inlineStr">
        <is>
          <t>A PAGAR = PRODUÇÃO + GRATIFICAÇÃO − ADIANTAMENTO (o adiantamento é o que a pessoa já recebeu no mês)</t>
        </is>
      </c>
    </row>
    <row r="23">
      <c r="A23" s="22">
        <f>"TERMO DE QUITAÇÃO — Declaramos para os devidos fins que recebemos as importâncias de produção discriminadas na tabela acima, referentes ao mês de "&amp;GERAL!$B$2&amp;", nada mais tendo a reclamar quanto aos valores aqui expressos."</f>
        <v/>
      </c>
    </row>
    <row r="24"/>
    <row r="26">
      <c r="A26" s="2" t="inlineStr">
        <is>
          <t>ASSINATURAS:</t>
        </is>
      </c>
    </row>
    <row r="27">
      <c r="A27">
        <f>IF(GERAL!$B5="","",GERAL!$B5&amp;": _______________________________________________")</f>
        <v/>
      </c>
    </row>
    <row r="28">
      <c r="A28">
        <f>IF(GERAL!$B6="","",GERAL!$B6&amp;": _______________________________________________")</f>
        <v/>
      </c>
    </row>
    <row r="29">
      <c r="A29">
        <f>IF(GERAL!$B7="","",GERAL!$B7&amp;": _______________________________________________")</f>
        <v/>
      </c>
    </row>
    <row r="30">
      <c r="A30">
        <f>IF(GERAL!$B8="","",GERAL!$B8&amp;": _______________________________________________")</f>
        <v/>
      </c>
    </row>
    <row r="31">
      <c r="A31">
        <f>IF(GERAL!$B9="","",GERAL!$B9&amp;": _______________________________________________")</f>
        <v/>
      </c>
    </row>
    <row r="32">
      <c r="A32">
        <f>IF(GERAL!$B10="","",GERAL!$B10&amp;": _______________________________________________")</f>
        <v/>
      </c>
    </row>
    <row r="33">
      <c r="A33">
        <f>IF(GERAL!$B11="","",GERAL!$B11&amp;": _______________________________________________")</f>
        <v/>
      </c>
    </row>
    <row r="34">
      <c r="A34">
        <f>IF(GERAL!$B12="","",GERAL!$B12&amp;": _______________________________________________")</f>
        <v/>
      </c>
    </row>
  </sheetData>
  <mergeCells count="1">
    <mergeCell ref="A23:N24"/>
  </mergeCells>
  <conditionalFormatting sqref="L5:L20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  <col width="20" customWidth="1" min="5" max="5"/>
    <col width="17" customWidth="1" min="6" max="6"/>
  </cols>
  <sheetData>
    <row r="1">
      <c r="A1" s="17">
        <f>"RELATÓRIO DE VENDAS E COMISSÕES — "&amp;GERAL!$A$1</f>
        <v/>
      </c>
    </row>
    <row r="2">
      <c r="A2" s="18">
        <f>"Competência: "&amp;GERAL!$B$2&amp;"    ·    Data: "&amp;GERAL!$D$2</f>
        <v/>
      </c>
    </row>
    <row r="4">
      <c r="A4" s="2" t="inlineStr">
        <is>
          <t>VENDEDORES DA FOLHA (comissão é pagamento à parte do salário)</t>
        </is>
      </c>
      <c r="C4" s="24" t="inlineStr">
        <is>
          <t>COMISSÃO = 0,5% DO VALOR VENDIDO (calcula sozinha)</t>
        </is>
      </c>
    </row>
    <row r="5" ht="28" customHeight="1">
      <c r="A5" s="6" t="inlineStr">
        <is>
          <t>Nº</t>
        </is>
      </c>
      <c r="B5" s="6" t="inlineStr">
        <is>
          <t>NOME</t>
        </is>
      </c>
      <c r="C5" s="6" t="inlineStr">
        <is>
          <t>VALOR DAS OBRAS</t>
        </is>
      </c>
      <c r="D5" s="6" t="inlineStr">
        <is>
          <t>COMISSÃO</t>
        </is>
      </c>
      <c r="E5" s="6" t="inlineStr">
        <is>
          <t>AGÊNCIA / C/C</t>
        </is>
      </c>
      <c r="F5" s="6" t="inlineStr">
        <is>
          <t>PIX</t>
        </is>
      </c>
    </row>
    <row r="6">
      <c r="A6" s="19">
        <f>IF(GERAL!$B14="","",GERAL!$A14)</f>
        <v/>
      </c>
      <c r="B6" s="21">
        <f>IF(GERAL!$B14="","",GERAL!$B14)</f>
        <v/>
      </c>
      <c r="C6" s="25" t="n">
        <v>1300832.38</v>
      </c>
      <c r="D6" s="11">
        <f>IF($C6="","",ROUND($C6*0.005,2))</f>
        <v/>
      </c>
      <c r="E6" s="21">
        <f>IF(GERAL!$B14="","",GERAL!$K14)</f>
        <v/>
      </c>
      <c r="F6" s="21">
        <f>IF(GERAL!$B14="","",GERAL!$L14)</f>
        <v/>
      </c>
    </row>
    <row r="7">
      <c r="A7" s="7" t="n"/>
      <c r="B7" s="20" t="n"/>
      <c r="C7" s="9" t="n"/>
      <c r="D7" s="11">
        <f>IF($C7="","",ROUND($C7*0.005,2))</f>
        <v/>
      </c>
      <c r="E7" s="20" t="n"/>
      <c r="F7" s="20" t="n"/>
    </row>
    <row r="8">
      <c r="A8" s="7" t="n"/>
      <c r="B8" s="20" t="n"/>
      <c r="C8" s="9" t="n"/>
      <c r="D8" s="11">
        <f>IF($C8="","",ROUND($C8*0.005,2))</f>
        <v/>
      </c>
      <c r="E8" s="20" t="n"/>
      <c r="F8" s="20" t="n"/>
    </row>
    <row r="9">
      <c r="A9" s="7" t="n"/>
      <c r="B9" s="20" t="n"/>
      <c r="C9" s="9" t="n"/>
      <c r="D9" s="11">
        <f>IF($C9="","",ROUND($C9*0.005,2))</f>
        <v/>
      </c>
      <c r="E9" s="20" t="n"/>
      <c r="F9" s="20" t="n"/>
    </row>
    <row r="10">
      <c r="A10" s="12" t="n"/>
      <c r="B10" s="12" t="n"/>
      <c r="C10" s="2" t="inlineStr">
        <is>
          <t>TOTAL VENDAS</t>
        </is>
      </c>
      <c r="D10" s="26">
        <f>SUM(D6:D9)</f>
        <v/>
      </c>
    </row>
    <row r="36">
      <c r="A36" s="27" t="inlineStr">
        <is>
          <t>Regra: COMISSÃO = 0,5% × VALOR VENDIDO (a coluna COMISSÃO calcula sozinha).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7">
        <f>"RESUMO DO MÊS — "&amp;GERAL!$A$1</f>
        <v/>
      </c>
    </row>
    <row r="3">
      <c r="A3" t="inlineStr">
        <is>
          <t>Competência</t>
        </is>
      </c>
      <c r="B3">
        <f>GERAL!$B$2</f>
        <v/>
      </c>
    </row>
    <row r="4">
      <c r="A4" t="inlineStr">
        <is>
          <t>Pessoas na folha</t>
        </is>
      </c>
      <c r="B4">
        <f>COUNTA(GERAL!$B$5:$B$20)</f>
        <v/>
      </c>
    </row>
    <row r="6">
      <c r="A6" t="inlineStr">
        <is>
          <t>Salários — Quinzena</t>
        </is>
      </c>
      <c r="B6" s="28">
        <f>GERAL!$I$21</f>
        <v/>
      </c>
    </row>
    <row r="7">
      <c r="A7" t="inlineStr">
        <is>
          <t>Salários — Mensal (líquido)</t>
        </is>
      </c>
      <c r="B7" s="28">
        <f>GERAL!$J$21</f>
        <v/>
      </c>
    </row>
    <row r="8">
      <c r="A8" s="2" t="inlineStr">
        <is>
          <t>SUBTOTAL FOLHA</t>
        </is>
      </c>
      <c r="B8" s="15">
        <f>B6+B7</f>
        <v/>
      </c>
    </row>
    <row r="9">
      <c r="A9" t="inlineStr">
        <is>
          <t>Produção (a pagar)</t>
        </is>
      </c>
      <c r="B9" s="28">
        <f>'PRODUÇÃO'!$L$21</f>
        <v/>
      </c>
    </row>
    <row r="10">
      <c r="A10" t="inlineStr">
        <is>
          <t>Vendas (comissões)</t>
        </is>
      </c>
      <c r="B10" s="28">
        <f>VENDAS!$D$10</f>
        <v/>
      </c>
    </row>
    <row r="11">
      <c r="A11" t="inlineStr">
        <is>
          <t>Terceiros (folha à parte)</t>
        </is>
      </c>
      <c r="B11" s="28">
        <f>GERAL!$D$29</f>
        <v/>
      </c>
    </row>
    <row r="12">
      <c r="A12" t="inlineStr">
        <is>
          <t>INSS retido (recolher)</t>
        </is>
      </c>
      <c r="B12" s="28">
        <f>GERAL!$F$21</f>
        <v/>
      </c>
    </row>
    <row r="13">
      <c r="A13" t="inlineStr">
        <is>
          <t>IRRF retido (recolher)</t>
        </is>
      </c>
      <c r="B13" s="28">
        <f>GERAL!$H$21</f>
        <v/>
      </c>
    </row>
    <row r="14">
      <c r="A14" t="inlineStr">
        <is>
          <t>Salário-família pago</t>
        </is>
      </c>
      <c r="B14" s="28">
        <f>GERAL!$G$21</f>
        <v/>
      </c>
    </row>
    <row r="16">
      <c r="A16" s="29" t="inlineStr">
        <is>
          <t>TOTAL GERAL DO MÊS</t>
        </is>
      </c>
      <c r="B16" s="30">
        <f>B8+B9+B10+B11</f>
        <v/>
      </c>
    </row>
    <row r="18">
      <c r="A18" s="5" t="inlineStr">
        <is>
          <t>Tudo aqui é automático — puxa do GERAL, PRODUÇÃO e VENDAS.</t>
        </is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</cols>
  <sheetData>
    <row r="1">
      <c r="A1" s="17" t="inlineStr">
        <is>
          <t>TABELAS OFICIAIS 2026 — NÃO MEXER (as fórmulas usam estes valores)</t>
        </is>
      </c>
    </row>
    <row r="2">
      <c r="A2" s="5" t="inlineStr">
        <is>
          <t>Fontes: Portaria Interministerial MPS/MF nº 13/2026 (INSS e salário-família) · Lei 15.270/2025 + tabela da Receita Federal (IRRF). Confirme com o contador.</t>
        </is>
      </c>
    </row>
    <row r="4">
      <c r="A4" s="31" t="inlineStr">
        <is>
          <t>INSS — a partir de (R$)</t>
        </is>
      </c>
      <c r="B4" s="31" t="inlineStr">
        <is>
          <t>Alíquota</t>
        </is>
      </c>
      <c r="C4" s="31" t="inlineStr">
        <is>
          <t>Parcela a deduzir</t>
        </is>
      </c>
    </row>
    <row r="5">
      <c r="A5" s="28" t="n">
        <v>0</v>
      </c>
      <c r="B5" s="32" t="n">
        <v>0.075</v>
      </c>
      <c r="C5" s="28" t="n">
        <v>0</v>
      </c>
    </row>
    <row r="6">
      <c r="A6" s="28" t="n">
        <v>1621.01</v>
      </c>
      <c r="B6" s="32" t="n">
        <v>0.09</v>
      </c>
      <c r="C6" s="28" t="n">
        <v>24.32</v>
      </c>
    </row>
    <row r="7">
      <c r="A7" s="28" t="n">
        <v>2902.85</v>
      </c>
      <c r="B7" s="32" t="n">
        <v>0.12</v>
      </c>
      <c r="C7" s="28" t="n">
        <v>111.4</v>
      </c>
    </row>
    <row r="8">
      <c r="A8" s="28" t="n">
        <v>4354.28</v>
      </c>
      <c r="B8" s="32" t="n">
        <v>0.14</v>
      </c>
      <c r="C8" s="28" t="n">
        <v>198.49</v>
      </c>
    </row>
    <row r="10">
      <c r="A10" t="inlineStr">
        <is>
          <t>Teto do INSS (máx. de contribuição)</t>
        </is>
      </c>
      <c r="B10" s="28" t="n">
        <v>8475.549999999999</v>
      </c>
    </row>
    <row r="12">
      <c r="A12" t="inlineStr">
        <is>
          <t>Salário-família — cota por filho (até 14 anos)</t>
        </is>
      </c>
      <c r="B12" s="28" t="n">
        <v>67.54000000000001</v>
      </c>
    </row>
    <row r="13">
      <c r="A13" t="inlineStr">
        <is>
          <t>Salário-família — só para bruto até</t>
        </is>
      </c>
      <c r="B13" s="28" t="n">
        <v>1980.38</v>
      </c>
    </row>
    <row r="15">
      <c r="A15" s="31" t="inlineStr">
        <is>
          <t>IRRF — base a partir de (R$)</t>
        </is>
      </c>
      <c r="B15" s="31" t="inlineStr">
        <is>
          <t>Alíquota</t>
        </is>
      </c>
      <c r="C15" s="31" t="inlineStr">
        <is>
          <t>Parcela a deduzir</t>
        </is>
      </c>
    </row>
    <row r="16">
      <c r="A16" s="28" t="n">
        <v>0</v>
      </c>
      <c r="B16" s="32" t="n">
        <v>0</v>
      </c>
      <c r="C16" s="28" t="n">
        <v>0</v>
      </c>
    </row>
    <row r="17">
      <c r="A17" s="28" t="n">
        <v>2428.81</v>
      </c>
      <c r="B17" s="32" t="n">
        <v>0.075</v>
      </c>
      <c r="C17" s="28" t="n">
        <v>182.16</v>
      </c>
    </row>
    <row r="18">
      <c r="A18" s="28" t="n">
        <v>2826.66</v>
      </c>
      <c r="B18" s="32" t="n">
        <v>0.15</v>
      </c>
      <c r="C18" s="28" t="n">
        <v>394.16</v>
      </c>
    </row>
    <row r="19">
      <c r="A19" s="28" t="n">
        <v>3751.06</v>
      </c>
      <c r="B19" s="32" t="n">
        <v>0.225</v>
      </c>
      <c r="C19" s="28" t="n">
        <v>675.49</v>
      </c>
    </row>
    <row r="20">
      <c r="A20" s="28" t="n">
        <v>4664.69</v>
      </c>
      <c r="B20" s="32" t="n">
        <v>0.275</v>
      </c>
      <c r="C20" s="28" t="n">
        <v>908.73</v>
      </c>
    </row>
    <row r="22">
      <c r="A22" t="inlineStr">
        <is>
          <t>IR — isento até (salário bruto)</t>
        </is>
      </c>
      <c r="B22" s="28" t="n">
        <v>5000</v>
      </c>
    </row>
    <row r="23">
      <c r="A23" t="inlineStr">
        <is>
          <t>IR — desconto gradual até (base)</t>
        </is>
      </c>
      <c r="B23" s="28" t="n">
        <v>7350</v>
      </c>
    </row>
    <row r="24">
      <c r="A24" t="inlineStr">
        <is>
          <t>IR — parcela fixa da redução</t>
        </is>
      </c>
      <c r="B24" s="28" t="n">
        <v>978.62</v>
      </c>
    </row>
    <row r="25">
      <c r="A25" t="inlineStr">
        <is>
          <t>IR — coeficiente da redução</t>
        </is>
      </c>
      <c r="B25" s="33" t="n">
        <v>0.133145</v>
      </c>
    </row>
    <row r="27">
      <c r="A27" t="inlineStr">
        <is>
          <t>Salário mínimo 2026</t>
        </is>
      </c>
      <c r="B27" s="28" t="n">
        <v>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2026-09-15T17:29:52Z</dcterms:created>
  <dcterms:modified xmlns:dcterms="http://purl.org/dc/terms/" xmlns:xsi="http://www.w3.org/2001/XMLSchema-instance" xsi:type="dcterms:W3CDTF">2026-09-15T17:29:52Z</dcterms:modified>
</cp:coreProperties>
</file>